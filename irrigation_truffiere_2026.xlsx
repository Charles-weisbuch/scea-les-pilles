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3"/>
  </bookViews>
  <sheets>
    <sheet name="Paramètres &amp; ETc" sheetId="1" state="hidden" r:id="rId3"/>
    <sheet name="Seuils pF WETRUF" sheetId="2" state="visible" r:id="rId4"/>
    <sheet name="Ajustements pluie" sheetId="3" state="visible" r:id="rId5"/>
    <sheet name="Piles" sheetId="4" state="visible" r:id="rId6"/>
    <sheet name="La Fontaine" sheetId="5" state="visible" r:id="rId7"/>
    <sheet name="La baume" sheetId="6" state="visible" r:id="rId8"/>
    <sheet name="Modèle saisi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<sst xmlns="http://schemas.openxmlformats.org/spreadsheetml/2006/main" count="246" uniqueCount="121">
  <si>
    <t xml:space="preserve">CALENDRIER D'IRRIGATION TRUFFIÈRE — SAISON MAI–SEPTEMBRE 2026</t>
  </si>
  <si>
    <t xml:space="preserve">La Saulce (05) · 5 ha · 2 000 chênes pubescents · T. melanosporum · ETc = Kc × ET₀ · Kc = 0,65 · Eff. aspersion 78% · Sol LAS 8 mm/h · WETRUF® pF Tracer</t>
  </si>
  <si>
    <t xml:space="preserve">PARAMÈTRES (modifier ici)</t>
  </si>
  <si>
    <t xml:space="preserve">Paramètre</t>
  </si>
  <si>
    <t xml:space="preserve">Valeur</t>
  </si>
  <si>
    <t xml:space="preserve">Référence cellule</t>
  </si>
  <si>
    <t xml:space="preserve">Note</t>
  </si>
  <si>
    <t xml:space="preserve">Kc</t>
  </si>
  <si>
    <t xml:space="preserve">B5</t>
  </si>
  <si>
    <t xml:space="preserve">Coefficient cultural T. melanosporum</t>
  </si>
  <si>
    <t xml:space="preserve">Efficience aspersion</t>
  </si>
  <si>
    <t xml:space="preserve">B6</t>
  </si>
  <si>
    <t xml:space="preserve">Pertes aspersion (78%)</t>
  </si>
  <si>
    <t xml:space="preserve">Surface (ha)</t>
  </si>
  <si>
    <t xml:space="preserve">B7</t>
  </si>
  <si>
    <t xml:space="preserve">Surface totale truffière</t>
  </si>
  <si>
    <t xml:space="preserve">Vitesse infiltration (mm/h)</t>
  </si>
  <si>
    <t xml:space="preserve">B8</t>
  </si>
  <si>
    <t xml:space="preserve">Sol LAS — ne pas dépasser</t>
  </si>
  <si>
    <t xml:space="preserve">Mois</t>
  </si>
  <si>
    <t xml:space="preserve">ETP réf.
(mm)</t>
  </si>
  <si>
    <t xml:space="preserve">ETc
(mm)
= Kc × ETP</t>
  </si>
  <si>
    <t xml:space="preserve">Pluie moy.
normale (mm)</t>
  </si>
  <si>
    <t xml:space="preserve">Pluie réelle
(mm) *</t>
  </si>
  <si>
    <t xml:space="preserve">Déficit net
(mm)</t>
  </si>
  <si>
    <t xml:space="preserve">Irrig. nette
/ha (m³)</t>
  </si>
  <si>
    <t xml:space="preserve">Irrig. BRUTE
/ha (m³)
÷ 0,78</t>
  </si>
  <si>
    <t xml:space="preserve">Irrig. BRUTE
5 ha (m³)</t>
  </si>
  <si>
    <t xml:space="preserve">Dose nette
/séance (mm)</t>
  </si>
  <si>
    <t xml:space="preserve">Dose brute
/séance (mm)</t>
  </si>
  <si>
    <t xml:space="preserve">Durée arrosage
(h) ÷ 8mm/h</t>
  </si>
  <si>
    <t xml:space="preserve">Nb séances
programmées</t>
  </si>
  <si>
    <t xml:space="preserve">Vol. BRUT
total 5ha (m³)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</si>
  <si>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</si>
  <si>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</si>
  <si>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</si>
  <si>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</si>
  <si>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</si>
  <si>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TOTAL</t>
  </si>
  <si>
    <t xml:space="preserve">0,65</t>
  </si>
  <si>
    <t xml:space="preserve">—</t>
  </si>
  <si>
    <t xml:space="preserve">* Colonne F (fond jaune) = Pluie réelle à saisir en cours de saison. Le déficit, les volumes et la durée d'arrosage se recalculent automatiquement. | Sol LAS : vitesse max 8 mm/h. Durée arrosage (col. M) = dose brute ÷ 8. | Eff. = 0,78 (aspersion). | Formule vol. ajusté : max(0 ; ETc − Pluie réelle) × 10 m³/ha ÷ 0,78.</t>
  </si>
  <si>
    <t xml:space="preserve">SEUILS DE DÉCLENCHEMENT — Sonde WETRUF® pF Tracer (calibration INRAE / CULTURTRUF)</t>
  </si>
  <si>
    <t xml:space="preserve">Valeur pF</t>
  </si>
  <si>
    <t xml:space="preserve">État du sol</t>
  </si>
  <si>
    <t xml:space="preserve">Décision irrigation</t>
  </si>
  <si>
    <t xml:space="preserve">Explication / Source</t>
  </si>
  <si>
    <t xml:space="preserve">&lt; 2,5</t>
  </si>
  <si>
    <t xml:space="preserve">Sol saturé</t>
  </si>
  <si>
    <t xml:space="preserve">NE PAS IRRIGUER</t>
  </si>
  <si>
    <t xml:space="preserve">Risque asphyxie racinaire + Tuber brumale</t>
  </si>
  <si>
    <t xml:space="preserve">2,5–3,0</t>
  </si>
  <si>
    <t xml:space="preserve">Capacité au champ</t>
  </si>
  <si>
    <t xml:space="preserve">Sol encore très humide — attendre</t>
  </si>
  <si>
    <t xml:space="preserve">3,0–3,5</t>
  </si>
  <si>
    <t xml:space="preserve">Bonne humidité</t>
  </si>
  <si>
    <t xml:space="preserve">Conditions optimales — laisser sécher naturellement</t>
  </si>
  <si>
    <t xml:space="preserve">3,5–3,8</t>
  </si>
  <si>
    <t xml:space="preserve">Humidité correcte</t>
  </si>
  <si>
    <t xml:space="preserve">SURVEILLER</t>
  </si>
  <si>
    <t xml:space="preserve">Vérifier sous la ramée et dans 3 jours</t>
  </si>
  <si>
    <t xml:space="preserve">3,8–4,0</t>
  </si>
  <si>
    <t xml:space="preserve">Début de stress</t>
  </si>
  <si>
    <t xml:space="preserve">⚡ PRÉPARER IRRIGATION</t>
  </si>
  <si>
    <t xml:space="preserve">Déclencher l'arrosage dans les 24–48h</t>
  </si>
  <si>
    <t xml:space="preserve">pF = 4,0</t>
  </si>
  <si>
    <t xml:space="preserve">Seuil INRAE/WETRUF</t>
  </si>
  <si>
    <t xml:space="preserve">✅ IRRIGUER</t>
  </si>
  <si>
    <t xml:space="preserve">Seuil validé CULTURTRUF (Le Tacon 1982 + INRAE 2018-2019) — déclencher immédiatement</t>
  </si>
  <si>
    <t xml:space="preserve">&gt; 4,0</t>
  </si>
  <si>
    <t xml:space="preserve">Stress hydrique</t>
  </si>
  <si>
    <t xml:space="preserve">🚨 URGENCE</t>
  </si>
  <si>
    <t xml:space="preserve">Risque perte de truffes — irriguer d'urgence. Si &gt; 4,2 : point de flétrissement</t>
  </si>
  <si>
    <t xml:space="preserve">Source : WETRUF®/INRAE — Programme CULTURTRUF (Le Tacon 1982, Claude Murat INRAE 2018-2019). pF = log₁₀ de la pression en Pa nécessaire pour extraire l'eau du sol. Gamme utile T. melanosporum : pF 2,5 → pF 4,2.</t>
  </si>
  <si>
    <t xml:space="preserve">RÈGLES D'AJUSTEMENT À LA PLUVIOMÉTRIE RÉELLE</t>
  </si>
  <si>
    <t xml:space="preserve">Événement pluvieux</t>
  </si>
  <si>
    <t xml:space="preserve">Action</t>
  </si>
  <si>
    <t xml:space="preserve">Détail</t>
  </si>
  <si>
    <t xml:space="preserve">Pluie ≥ 10 mm</t>
  </si>
  <si>
    <t xml:space="preserve">Reporter le passage prévu de 3–5 jours</t>
  </si>
  <si>
    <t xml:space="preserve">Relire pF avant de reprogrammer</t>
  </si>
  <si>
    <t xml:space="preserve">Pluie ≥ 20 mm</t>
  </si>
  <si>
    <t xml:space="preserve">Supprimer le passage suivant</t>
  </si>
  <si>
    <t xml:space="preserve">Déduire le volume correspondant du total mensuel</t>
  </si>
  <si>
    <t xml:space="preserve">Pluie ≥ ETc mois</t>
  </si>
  <si>
    <t xml:space="preserve">Arrêt complet du mois</t>
  </si>
  <si>
    <t xml:space="preserve">Pluie couvre le besoin — vérifier pF</t>
  </si>
  <si>
    <t xml:space="preserve">Pluie efficace</t>
  </si>
  <si>
    <t xml:space="preserve">Pluie ≥ 5 mm en 1h ou ≥ 10 mm en 24h</t>
  </si>
  <si>
    <t xml:space="preserve">En dessous, évaporation &gt; infiltration → non comptabilisée (sol LAS)</t>
  </si>
  <si>
    <t xml:space="preserve">Ajustement volume</t>
  </si>
  <si>
    <t xml:space="preserve">Volume irrigué = max(0 ; ETc − Pluie réelle) × 10 m³/ha ÷ 0,78</t>
  </si>
  <si>
    <t xml:space="preserve">Formule saisie en colonne F (pluie réelle) du tableau ETc</t>
  </si>
  <si>
    <t xml:space="preserve">Durée arrosage pour les 5 ah (100 m3/h)
</t>
  </si>
  <si>
    <t xml:space="preserve">Nb séances
Programmées </t>
  </si>
  <si>
    <t xml:space="preserve">Vol. BRUT
Par section de 1,7ha (m³)</t>
  </si>
  <si>
    <t xml:space="preserve">Durée en h/section de 1,7 ha à 100 m³/h</t>
  </si>
  <si>
    <t xml:space="preserve">Fréquence/ section de 1,7 ha</t>
  </si>
  <si>
    <t xml:space="preserve"> passage (20/05)</t>
  </si>
  <si>
    <t xml:space="preserve"> passages (03/06, 24/06)</t>
  </si>
  <si>
    <t xml:space="preserve"> passages (01/07, 08/07, 15/07, 29/07)</t>
  </si>
  <si>
    <r>
      <rPr>
        <sz val="11"/>
        <color theme="1"/>
        <rFont val="Calibri"/>
        <family val="2"/>
        <charset val="1"/>
      </rPr>
      <t xml:space="preserve"> passages (05/08, 12/08, </t>
    </r>
    <r>
      <rPr>
        <b val="true"/>
        <sz val="11"/>
        <color theme="1"/>
        <rFont val="Calibri"/>
        <family val="2"/>
        <charset val="1"/>
      </rPr>
      <t xml:space="preserve">19/08</t>
    </r>
    <r>
      <rPr>
        <sz val="11"/>
        <color theme="1"/>
        <rFont val="Calibri"/>
        <family val="2"/>
        <charset val="1"/>
      </rPr>
      <t xml:space="preserve">)</t>
    </r>
  </si>
  <si>
    <t xml:space="preserve">Ligne 1</t>
  </si>
  <si>
    <t xml:space="preserve">Ligne 2</t>
  </si>
  <si>
    <t xml:space="preserve">Ligne 3</t>
  </si>
  <si>
    <t xml:space="preserve">Longueur (m)</t>
  </si>
  <si>
    <t xml:space="preserve">Surface couverte (ha)</t>
  </si>
  <si>
    <t xml:space="preserve">Temps de parcours (h)</t>
  </si>
  <si>
    <t xml:space="preserve">Volume d’eau (m³)</t>
  </si>
  <si>
    <t xml:space="preserve">Hauteur d’eau (mm)</t>
  </si>
  <si>
    <t xml:space="preserve">Envergure jet (m)</t>
  </si>
  <si>
    <t xml:space="preserve">Vitesse (m/h)</t>
  </si>
  <si>
    <t xml:space="preserve">Pression (bar)</t>
  </si>
  <si>
    <t xml:space="preserve">Débit (m3/h)</t>
  </si>
  <si>
    <t xml:space="preserve">Grand enrouleur</t>
  </si>
  <si>
    <t xml:space="preserve">Petit enrouleur</t>
  </si>
  <si>
    <t xml:space="preserve">Date</t>
  </si>
  <si>
    <t xml:space="preserve">Volume apporté</t>
  </si>
  <si>
    <t xml:space="preserve">M3</t>
  </si>
  <si>
    <t xml:space="preserve">mm</t>
  </si>
  <si>
    <t xml:space="preserve">Durée d’arrosage (h)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</si>
</sst>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d\ mmm\ yy"/>
    <numFmt numFmtId="168" formatCode="d\ mmm\ yyyy"/>
    <numFmt numFmtId="169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8"/>
      <color rgb="FF555555"/>
      <name val="Arial"/>
      <family val="0"/>
      <charset val="1"/>
    </font>
    <font>
      <sz val="9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DDFF"/>
      </patternFill>
    </fill>
    <fill>
      <patternFill patternType="solid">
        <fgColor rgb="FFFF6600"/>
        <bgColor rgb="FFFF8000"/>
      </patternFill>
    </fill>
    <fill>
      <patternFill patternType="solid">
        <fgColor rgb="FFDEEAF1"/>
        <bgColor rgb="FFDEE6EF"/>
      </patternFill>
    </fill>
    <fill>
      <patternFill patternType="solid">
        <fgColor rgb="FFFFFF00"/>
        <bgColor rgb="FFE8F2A1"/>
      </patternFill>
    </fill>
    <fill>
      <patternFill patternType="solid">
        <fgColor rgb="FFE2EFDA"/>
        <bgColor rgb="FFDDE8CB"/>
      </patternFill>
    </fill>
    <fill>
      <patternFill patternType="solid">
        <fgColor rgb="FFF2F2F2"/>
        <bgColor rgb="FFE2EFDA"/>
      </patternFill>
    </fill>
    <fill>
      <patternFill patternType="solid">
        <fgColor rgb="FFAAAAFF"/>
        <bgColor rgb="FFAAAAAA"/>
      </patternFill>
    </fill>
    <fill>
      <patternFill patternType="solid">
        <fgColor rgb="FFCCDDFF"/>
        <bgColor rgb="FFBDD7EE"/>
      </patternFill>
    </fill>
    <fill>
      <patternFill patternType="solid">
        <fgColor rgb="FFFFDDB0"/>
        <bgColor rgb="FFFFDBB6"/>
      </patternFill>
    </fill>
    <fill>
      <patternFill patternType="solid">
        <fgColor rgb="FFFFCC80"/>
        <bgColor rgb="FFFFDDB0"/>
      </patternFill>
    </fill>
    <fill>
      <patternFill patternType="solid">
        <fgColor rgb="FFCCFFCC"/>
        <bgColor rgb="FFE2EFDA"/>
      </patternFill>
    </fill>
    <fill>
      <patternFill patternType="solid">
        <fgColor rgb="FFFFCCCC"/>
        <bgColor rgb="FFFFDBB6"/>
      </patternFill>
    </fill>
    <fill>
      <patternFill patternType="solid">
        <fgColor rgb="FFFFFFFF"/>
        <bgColor rgb="FFF2F2F2"/>
      </patternFill>
    </fill>
    <fill>
      <patternFill patternType="solid">
        <fgColor rgb="FFE8F2A1"/>
        <bgColor rgb="FFDDE8CB"/>
      </patternFill>
    </fill>
    <fill>
      <patternFill patternType="solid">
        <fgColor rgb="FFFF8000"/>
        <bgColor rgb="FFED7D31"/>
      </patternFill>
    </fill>
    <fill>
      <patternFill patternType="solid">
        <fgColor rgb="FF729FCF"/>
        <bgColor rgb="FF888888"/>
      </patternFill>
    </fill>
    <fill>
      <patternFill patternType="solid">
        <fgColor rgb="FFAFD095"/>
        <bgColor rgb="FFAAAAAA"/>
      </patternFill>
    </fill>
    <fill>
      <patternFill patternType="solid">
        <fgColor rgb="FFDEE6EF"/>
        <bgColor rgb="FFDEEAF1"/>
      </patternFill>
    </fill>
    <fill>
      <patternFill patternType="solid">
        <fgColor rgb="FFFFDBB6"/>
        <bgColor rgb="FFFFDDB0"/>
      </patternFill>
    </fill>
    <fill>
      <patternFill patternType="solid">
        <fgColor rgb="FFDDE8CB"/>
        <bgColor rgb="FFE2EFDA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thin"/>
      <right style="thin"/>
      <top style="thin"/>
      <bottom style="hair">
        <color rgb="FF808080"/>
      </bottom>
      <diagonal/>
    </border>
    <border diagonalUp="false" diagonalDown="false">
      <left style="hair">
        <color rgb="FF808080"/>
      </left>
      <right style="hair">
        <color rgb="FF808080"/>
      </right>
      <top style="thin"/>
      <bottom style="hair">
        <color rgb="FF808080"/>
      </bottom>
      <diagonal/>
    </border>
    <border diagonalUp="false" diagonalDown="false">
      <left style="hair">
        <color rgb="FF808080"/>
      </left>
      <right style="thin"/>
      <top style="thin"/>
      <bottom style="hair">
        <color rgb="FF808080"/>
      </bottom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808080"/>
      </left>
      <right style="thin"/>
      <top style="hair">
        <color rgb="FF808080"/>
      </top>
      <bottom style="hair">
        <color rgb="FF808080"/>
      </bottom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 style="hair">
        <color rgb="FF808080"/>
      </top>
      <bottom style="thin"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thin"/>
      <diagonal/>
    </border>
    <border diagonalUp="false" diagonalDown="false">
      <left style="hair">
        <color rgb="FF808080"/>
      </left>
      <right style="thin"/>
      <top style="hair">
        <color rgb="FF808080"/>
      </top>
      <bottom style="thin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1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2" fillId="1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3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1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1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1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1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2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2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21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1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2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1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2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1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AAAAFF"/>
      <rgbColor rgb="FF993366"/>
      <rgbColor rgb="FFF2F2F2"/>
      <rgbColor rgb="FFDEEAF1"/>
      <rgbColor rgb="FF660066"/>
      <rgbColor rgb="FFED7D31"/>
      <rgbColor rgb="FF0066CC"/>
      <rgbColor rgb="FFCCDDFF"/>
      <rgbColor rgb="FF000080"/>
      <rgbColor rgb="FFFF00FF"/>
      <rgbColor rgb="FFFFDBB6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E8F2A1"/>
      <rgbColor rgb="FFBDD7EE"/>
      <rgbColor rgb="FFFFCCCC"/>
      <rgbColor rgb="FFAAAAAA"/>
      <rgbColor rgb="FFFFCC80"/>
      <rgbColor rgb="FF3366FF"/>
      <rgbColor rgb="FF729FCF"/>
      <rgbColor rgb="FFDDE8CB"/>
      <rgbColor rgb="FFFFDDB0"/>
      <rgbColor rgb="FFFF8000"/>
      <rgbColor rgb="FFFF6600"/>
      <rgbColor rgb="FF555555"/>
      <rgbColor rgb="FF888888"/>
      <rgbColor rgb="FF003366"/>
      <rgbColor rgb="FFDEE6EF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0" activeCellId="0" sqref="A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true" outlineLevel="0" max="8" min="8" style="1" width="12"/>
    <col collapsed="false" customWidth="true" hidden="false" outlineLevel="0" max="9" min="9" style="1" width="14"/>
    <col collapsed="false" customWidth="true" hidden="false" outlineLevel="0" max="11" min="10" style="1" width="13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false" hidden="false" outlineLevel="0" max="16384" min="16" style="1" width="8.6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.75" hidden="false" customHeight="true" outlineLevel="0" collapsed="false">
      <c r="A3" s="4" t="s">
        <v>2</v>
      </c>
      <c r="B3" s="4"/>
      <c r="C3" s="4"/>
    </row>
    <row r="4" customFormat="false" ht="32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42.75" hidden="false" customHeight="true" outlineLevel="0" collapsed="false">
      <c r="A5" s="6" t="s">
        <v>7</v>
      </c>
      <c r="B5" s="7" t="n">
        <v>0.65</v>
      </c>
      <c r="C5" s="8" t="s">
        <v>8</v>
      </c>
      <c r="D5" s="9" t="s">
        <v>9</v>
      </c>
    </row>
    <row r="6" customFormat="false" ht="32.25" hidden="false" customHeight="true" outlineLevel="0" collapsed="false">
      <c r="A6" s="6" t="s">
        <v>10</v>
      </c>
      <c r="B6" s="7" t="n">
        <v>0.78</v>
      </c>
      <c r="C6" s="8" t="s">
        <v>11</v>
      </c>
      <c r="D6" s="9" t="s">
        <v>12</v>
      </c>
    </row>
    <row r="7" customFormat="false" ht="32.25" hidden="false" customHeight="true" outlineLevel="0" collapsed="false">
      <c r="A7" s="6" t="s">
        <v>13</v>
      </c>
      <c r="B7" s="10" t="n">
        <v>5</v>
      </c>
      <c r="C7" s="8" t="s">
        <v>14</v>
      </c>
      <c r="D7" s="9" t="s">
        <v>15</v>
      </c>
    </row>
    <row r="8" customFormat="false" ht="32.25" hidden="false" customHeight="true" outlineLevel="0" collapsed="false">
      <c r="A8" s="6" t="s">
        <v>16</v>
      </c>
      <c r="B8" s="10" t="n">
        <v>8</v>
      </c>
      <c r="C8" s="8" t="s">
        <v>17</v>
      </c>
      <c r="D8" s="9" t="s">
        <v>18</v>
      </c>
    </row>
    <row r="9" customFormat="false" ht="7.5" hidden="false" customHeight="true" outlineLevel="0" collapsed="false"/>
    <row r="10" customFormat="false" ht="45" hidden="false" customHeight="true" outlineLevel="0" collapsed="false">
      <c r="A10" s="11" t="s">
        <v>19</v>
      </c>
      <c r="B10" s="11" t="s">
        <v>20</v>
      </c>
      <c r="C10" s="11" t="s">
        <v>7</v>
      </c>
      <c r="D10" s="11" t="s">
        <v>21</v>
      </c>
      <c r="E10" s="11" t="s">
        <v>22</v>
      </c>
      <c r="F10" s="11" t="s">
        <v>23</v>
      </c>
      <c r="G10" s="11" t="s">
        <v>24</v>
      </c>
      <c r="H10" s="11" t="s">
        <v>25</v>
      </c>
      <c r="I10" s="11" t="s">
        <v>26</v>
      </c>
      <c r="J10" s="11" t="s">
        <v>27</v>
      </c>
      <c r="K10" s="11" t="s">
        <v>28</v>
      </c>
      <c r="L10" s="11" t="s">
        <v>29</v>
      </c>
      <c r="M10" s="11" t="s">
        <v>30</v>
      </c>
      <c r="N10" s="11" t="s">
        <v>31</v>
      </c>
      <c r="O10" s="11" t="s">
        <v>32</v>
      </c>
    </row>
    <row r="11" customFormat="false" ht="19.5" hidden="false" customHeight="true" outlineLevel="0" collapsed="false">
      <c r="A11" s="12" t="s">
        <v>33</v>
      </c>
      <c r="B11" s="10" t="n">
        <v>90</v>
      </c>
      <c r="C11" s="13" t="n">
        <f aca="false">$B$5</f>
        <v>0.65</v>
      </c>
      <c r="D11" s="14" t="n">
        <f aca="false">ROUND($B$5*B11,0)</f>
        <v>59</v>
      </c>
      <c r="E11" s="10" t="n">
        <v>49</v>
      </c>
      <c r="F11" s="15"/>
      <c r="G11" s="16" t="n">
        <f aca="false">MAX(0,D11-IF(F11="",E11,F11))</f>
        <v>10</v>
      </c>
      <c r="H11" s="14" t="n">
        <f aca="false">G11*10</f>
        <v>100</v>
      </c>
      <c r="I11" s="14" t="n">
        <f aca="false">IFERROR(H11/$B$6,0)</f>
        <v>128.205128205128</v>
      </c>
      <c r="J11" s="16" t="n">
        <f aca="false">I11*$B$7</f>
        <v>641.025641025641</v>
      </c>
      <c r="K11" s="14" t="n">
        <f aca="false">IFERROR(IF(N11=0,"—",G11/N11),0)</f>
        <v>10</v>
      </c>
      <c r="L11" s="14" t="n">
        <f aca="false">IFERROR(IF(N11=0,"—",K11/$B$6),"—")</f>
        <v>12.8205128205128</v>
      </c>
      <c r="M11" s="17" t="n">
        <f aca="false">IFERROR(IF(N11=0,"—",L11/$B$8),"—")</f>
        <v>1.6025641025641</v>
      </c>
      <c r="N11" s="10" t="n">
        <v>1</v>
      </c>
      <c r="O11" s="18" t="n">
        <f aca="false">J11</f>
        <v>641.025641025641</v>
      </c>
    </row>
    <row r="12" customFormat="false" ht="19.5" hidden="false" customHeight="true" outlineLevel="0" collapsed="false">
      <c r="A12" s="12" t="s">
        <v>34</v>
      </c>
      <c r="B12" s="10" t="n">
        <v>120</v>
      </c>
      <c r="C12" s="13" t="n">
        <f aca="false">$B$5</f>
        <v>0.65</v>
      </c>
      <c r="D12" s="14" t="n">
        <f aca="false">ROUND($B$5*B12,0)</f>
        <v>78</v>
      </c>
      <c r="E12" s="10" t="n">
        <v>39</v>
      </c>
      <c r="F12" s="15"/>
      <c r="G12" s="16" t="n">
        <f aca="false">MAX(0,D12-IF(F12="",E12,F12))</f>
        <v>39</v>
      </c>
      <c r="H12" s="14" t="n">
        <f aca="false">G12*10</f>
        <v>390</v>
      </c>
      <c r="I12" s="14" t="n">
        <f aca="false">IFERROR(H12/$B$6,0)</f>
        <v>500</v>
      </c>
      <c r="J12" s="16" t="n">
        <f aca="false">I12*$B$7</f>
        <v>2500</v>
      </c>
      <c r="K12" s="14" t="n">
        <f aca="false">IFERROR(IF(N12=0,"—",G12/N12),0)</f>
        <v>9.75</v>
      </c>
      <c r="L12" s="14" t="n">
        <f aca="false">IFERROR(IF(N12=0,"—",K12/$B$6),"—")</f>
        <v>12.5</v>
      </c>
      <c r="M12" s="17" t="n">
        <f aca="false">IFERROR(IF(N12=0,"—",L12/$B$8),"—")</f>
        <v>1.5625</v>
      </c>
      <c r="N12" s="10" t="n">
        <v>4</v>
      </c>
      <c r="O12" s="18" t="n">
        <f aca="false">J12</f>
        <v>2500</v>
      </c>
    </row>
    <row r="13" customFormat="false" ht="19.5" hidden="false" customHeight="true" outlineLevel="0" collapsed="false">
      <c r="A13" s="12" t="s">
        <v>35</v>
      </c>
      <c r="B13" s="10" t="n">
        <v>145</v>
      </c>
      <c r="C13" s="13" t="n">
        <f aca="false">$B$5</f>
        <v>0.65</v>
      </c>
      <c r="D13" s="14" t="n">
        <f aca="false">ROUND($B$5*B13,0)</f>
        <v>94</v>
      </c>
      <c r="E13" s="10" t="n">
        <v>24</v>
      </c>
      <c r="F13" s="15"/>
      <c r="G13" s="16" t="n">
        <f aca="false">MAX(0,D13-IF(F13="",E13,F13))</f>
        <v>70</v>
      </c>
      <c r="H13" s="14" t="n">
        <f aca="false">G13*10</f>
        <v>700</v>
      </c>
      <c r="I13" s="14" t="n">
        <f aca="false">IFERROR(H13/$B$6,0)</f>
        <v>897.435897435898</v>
      </c>
      <c r="J13" s="16" t="n">
        <f aca="false">I13*$B$7</f>
        <v>4487.17948717949</v>
      </c>
      <c r="K13" s="14" t="n">
        <f aca="false">IFERROR(IF(N13=0,"—",G13/N13),0)</f>
        <v>8.75</v>
      </c>
      <c r="L13" s="14" t="n">
        <f aca="false">IFERROR(IF(N13=0,"—",K13/$B$6),"—")</f>
        <v>11.2179487179487</v>
      </c>
      <c r="M13" s="17" t="n">
        <f aca="false">IFERROR(IF(N13=0,"—",L13/$B$8),"—")</f>
        <v>1.40224358974359</v>
      </c>
      <c r="N13" s="10" t="n">
        <v>8</v>
      </c>
      <c r="O13" s="18" t="n">
        <f aca="false">J13</f>
        <v>4487.17948717949</v>
      </c>
    </row>
    <row r="14" customFormat="false" ht="19.5" hidden="false" customHeight="true" outlineLevel="0" collapsed="false">
      <c r="A14" s="12" t="s">
        <v>36</v>
      </c>
      <c r="B14" s="10" t="n">
        <v>130</v>
      </c>
      <c r="C14" s="13" t="n">
        <f aca="false">$B$5</f>
        <v>0.65</v>
      </c>
      <c r="D14" s="14" t="n">
        <f aca="false">ROUND($B$5*B14,0)</f>
        <v>85</v>
      </c>
      <c r="E14" s="10" t="n">
        <v>46</v>
      </c>
      <c r="F14" s="15"/>
      <c r="G14" s="16" t="n">
        <f aca="false">MAX(0,D14-IF(F14="",E14,F14))</f>
        <v>39</v>
      </c>
      <c r="H14" s="14" t="n">
        <f aca="false">G14*10</f>
        <v>390</v>
      </c>
      <c r="I14" s="14" t="n">
        <f aca="false">IFERROR(H14/$B$6,0)</f>
        <v>500</v>
      </c>
      <c r="J14" s="16" t="n">
        <f aca="false">I14*$B$7</f>
        <v>2500</v>
      </c>
      <c r="K14" s="14" t="n">
        <f aca="false">IFERROR(IF(N14=0,"—",G14/N14),0)</f>
        <v>4.875</v>
      </c>
      <c r="L14" s="14" t="n">
        <f aca="false">IFERROR(IF(N14=0,"—",K14/$B$6),"—")</f>
        <v>6.25</v>
      </c>
      <c r="M14" s="17" t="n">
        <f aca="false">IFERROR(IF(N14=0,"—",L14/$B$8),"—")</f>
        <v>0.78125</v>
      </c>
      <c r="N14" s="10" t="n">
        <v>8</v>
      </c>
      <c r="O14" s="18" t="n">
        <f aca="false">J14</f>
        <v>2500</v>
      </c>
    </row>
    <row r="15" customFormat="false" ht="19.5" hidden="false" customHeight="true" outlineLevel="0" collapsed="false">
      <c r="A15" s="12" t="s">
        <v>37</v>
      </c>
      <c r="B15" s="10" t="n">
        <v>85</v>
      </c>
      <c r="C15" s="13" t="n">
        <f aca="false">$B$5</f>
        <v>0.65</v>
      </c>
      <c r="D15" s="14" t="n">
        <f aca="false">ROUND($B$5*B15,0)</f>
        <v>55</v>
      </c>
      <c r="E15" s="10" t="n">
        <v>55</v>
      </c>
      <c r="F15" s="15"/>
      <c r="G15" s="16" t="n">
        <f aca="false">MAX(0,D15-IF(F15="",E15,F15))</f>
        <v>0</v>
      </c>
      <c r="H15" s="14" t="n">
        <f aca="false">G15*10</f>
        <v>0</v>
      </c>
      <c r="I15" s="14" t="n">
        <f aca="false">IFERROR(H15/$B$6,0)</f>
        <v>0</v>
      </c>
      <c r="J15" s="16" t="n">
        <f aca="false">I15*$B$7</f>
        <v>0</v>
      </c>
      <c r="K15" s="14" t="str">
        <f aca="false">IFERROR(IF(N15=0,"—",G15/N15),0)</f>
        <v>—</v>
      </c>
      <c r="L15" s="14" t="str">
        <f aca="false">IFERROR(IF(N15=0,"—",K15/$B$6),"—")</f>
        <v>—</v>
      </c>
      <c r="M15" s="14" t="str">
        <f aca="false">IFERROR(IF(N15=0,"—",L15/$B$8),"—")</f>
        <v>—</v>
      </c>
      <c r="N15" s="10" t="n">
        <v>0</v>
      </c>
      <c r="O15" s="18" t="n">
        <f aca="false">J15</f>
        <v>0</v>
      </c>
    </row>
    <row r="16" customFormat="false" ht="21.75" hidden="false" customHeight="true" outlineLevel="0" collapsed="false">
      <c r="A16" s="19" t="s">
        <v>38</v>
      </c>
      <c r="B16" s="19" t="n">
        <f aca="false">SUM(B11:B15)</f>
        <v>570</v>
      </c>
      <c r="C16" s="20" t="s">
        <v>39</v>
      </c>
      <c r="D16" s="19" t="n">
        <f aca="false">SUM(D11:D15)</f>
        <v>371</v>
      </c>
      <c r="E16" s="19" t="n">
        <f aca="false">SUM(E11:E15)</f>
        <v>213</v>
      </c>
      <c r="F16" s="19" t="s">
        <v>40</v>
      </c>
      <c r="G16" s="19" t="n">
        <f aca="false">SUM(G11:G15)</f>
        <v>158</v>
      </c>
      <c r="H16" s="19" t="n">
        <f aca="false">SUM(H11:H15)</f>
        <v>1580</v>
      </c>
      <c r="I16" s="19" t="n">
        <f aca="false">SUM(I11:I15)</f>
        <v>2025.64102564103</v>
      </c>
      <c r="J16" s="19" t="n">
        <f aca="false">SUM(J11:J15)</f>
        <v>10128.2051282051</v>
      </c>
      <c r="K16" s="19" t="s">
        <v>40</v>
      </c>
      <c r="L16" s="19" t="s">
        <v>40</v>
      </c>
      <c r="M16" s="19" t="s">
        <v>40</v>
      </c>
      <c r="N16" s="19" t="s">
        <v>40</v>
      </c>
      <c r="O16" s="19" t="n">
        <f aca="false">SUM(O11:O15)</f>
        <v>10128.2051282051</v>
      </c>
    </row>
    <row r="17" customFormat="false" ht="30" hidden="false" customHeight="true" outlineLevel="0" collapsed="false">
      <c r="A17" s="21" t="s">
        <v>41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</sheetData>
  <mergeCells count="4">
    <mergeCell ref="A1:O1"/>
    <mergeCell ref="A2:O2"/>
    <mergeCell ref="A3:C3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2" width="12"/>
    <col collapsed="false" customWidth="true" hidden="false" outlineLevel="0" max="2" min="2" style="22" width="22"/>
    <col collapsed="false" customWidth="true" hidden="false" outlineLevel="0" max="3" min="3" style="22" width="28"/>
    <col collapsed="false" customWidth="true" hidden="false" outlineLevel="0" max="4" min="4" style="22" width="60"/>
  </cols>
  <sheetData>
    <row r="1" customFormat="false" ht="24.75" hidden="false" customHeight="true" outlineLevel="0" collapsed="false">
      <c r="A1" s="23" t="s">
        <v>42</v>
      </c>
      <c r="B1" s="23"/>
      <c r="C1" s="23"/>
      <c r="D1" s="23"/>
    </row>
    <row r="2" customFormat="false" ht="18" hidden="false" customHeight="true" outlineLevel="0" collapsed="false">
      <c r="A2" s="24" t="s">
        <v>43</v>
      </c>
      <c r="B2" s="24" t="s">
        <v>44</v>
      </c>
      <c r="C2" s="24" t="s">
        <v>45</v>
      </c>
      <c r="D2" s="24" t="s">
        <v>46</v>
      </c>
    </row>
    <row r="3" customFormat="false" ht="19.5" hidden="false" customHeight="true" outlineLevel="0" collapsed="false">
      <c r="A3" s="25" t="s">
        <v>47</v>
      </c>
      <c r="B3" s="26" t="s">
        <v>48</v>
      </c>
      <c r="C3" s="27" t="s">
        <v>49</v>
      </c>
      <c r="D3" s="28" t="s">
        <v>50</v>
      </c>
    </row>
    <row r="4" customFormat="false" ht="19.5" hidden="false" customHeight="true" outlineLevel="0" collapsed="false">
      <c r="A4" s="25" t="s">
        <v>51</v>
      </c>
      <c r="B4" s="26" t="s">
        <v>52</v>
      </c>
      <c r="C4" s="27" t="s">
        <v>49</v>
      </c>
      <c r="D4" s="28" t="s">
        <v>53</v>
      </c>
    </row>
    <row r="5" customFormat="false" ht="19.5" hidden="false" customHeight="true" outlineLevel="0" collapsed="false">
      <c r="A5" s="29" t="s">
        <v>54</v>
      </c>
      <c r="B5" s="30" t="s">
        <v>55</v>
      </c>
      <c r="C5" s="31" t="s">
        <v>49</v>
      </c>
      <c r="D5" s="32" t="s">
        <v>56</v>
      </c>
    </row>
    <row r="6" customFormat="false" ht="19.5" hidden="false" customHeight="true" outlineLevel="0" collapsed="false">
      <c r="A6" s="33" t="s">
        <v>57</v>
      </c>
      <c r="B6" s="34" t="s">
        <v>58</v>
      </c>
      <c r="C6" s="35" t="s">
        <v>59</v>
      </c>
      <c r="D6" s="36" t="s">
        <v>60</v>
      </c>
    </row>
    <row r="7" customFormat="false" ht="19.5" hidden="false" customHeight="true" outlineLevel="0" collapsed="false">
      <c r="A7" s="37" t="s">
        <v>61</v>
      </c>
      <c r="B7" s="38" t="s">
        <v>62</v>
      </c>
      <c r="C7" s="39" t="s">
        <v>63</v>
      </c>
      <c r="D7" s="40" t="s">
        <v>64</v>
      </c>
    </row>
    <row r="8" customFormat="false" ht="19.5" hidden="false" customHeight="true" outlineLevel="0" collapsed="false">
      <c r="A8" s="41" t="s">
        <v>65</v>
      </c>
      <c r="B8" s="42" t="s">
        <v>66</v>
      </c>
      <c r="C8" s="43" t="s">
        <v>67</v>
      </c>
      <c r="D8" s="44" t="s">
        <v>68</v>
      </c>
    </row>
    <row r="9" customFormat="false" ht="19.5" hidden="false" customHeight="true" outlineLevel="0" collapsed="false">
      <c r="A9" s="45" t="s">
        <v>69</v>
      </c>
      <c r="B9" s="46" t="s">
        <v>70</v>
      </c>
      <c r="C9" s="47" t="s">
        <v>71</v>
      </c>
      <c r="D9" s="48" t="s">
        <v>72</v>
      </c>
    </row>
    <row r="10" customFormat="false" ht="19.5" hidden="false" customHeight="true" outlineLevel="0" collapsed="false">
      <c r="A10" s="49" t="s">
        <v>73</v>
      </c>
      <c r="B10" s="49"/>
      <c r="C10" s="49"/>
      <c r="D10" s="49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2" width="22"/>
    <col collapsed="false" customWidth="true" hidden="false" outlineLevel="0" max="2" min="2" style="22" width="55"/>
    <col collapsed="false" customWidth="true" hidden="false" outlineLevel="0" max="3" min="3" style="22" width="65"/>
  </cols>
  <sheetData>
    <row r="1" customFormat="false" ht="21.75" hidden="false" customHeight="true" outlineLevel="0" collapsed="false">
      <c r="A1" s="23" t="s">
        <v>74</v>
      </c>
      <c r="B1" s="23"/>
      <c r="C1" s="23"/>
    </row>
    <row r="2" customFormat="false" ht="15" hidden="false" customHeight="true" outlineLevel="0" collapsed="false">
      <c r="A2" s="24" t="s">
        <v>75</v>
      </c>
      <c r="B2" s="24" t="s">
        <v>76</v>
      </c>
      <c r="C2" s="24" t="s">
        <v>77</v>
      </c>
    </row>
    <row r="3" customFormat="false" ht="21.75" hidden="false" customHeight="true" outlineLevel="0" collapsed="false">
      <c r="A3" s="50" t="s">
        <v>78</v>
      </c>
      <c r="B3" s="51" t="s">
        <v>79</v>
      </c>
      <c r="C3" s="52" t="s">
        <v>80</v>
      </c>
    </row>
    <row r="4" customFormat="false" ht="21.75" hidden="false" customHeight="true" outlineLevel="0" collapsed="false">
      <c r="A4" s="50" t="s">
        <v>81</v>
      </c>
      <c r="B4" s="51" t="s">
        <v>82</v>
      </c>
      <c r="C4" s="52" t="s">
        <v>83</v>
      </c>
    </row>
    <row r="5" customFormat="false" ht="21.75" hidden="false" customHeight="true" outlineLevel="0" collapsed="false">
      <c r="A5" s="50" t="s">
        <v>84</v>
      </c>
      <c r="B5" s="51" t="s">
        <v>85</v>
      </c>
      <c r="C5" s="52" t="s">
        <v>86</v>
      </c>
    </row>
    <row r="6" customFormat="false" ht="21.75" hidden="false" customHeight="true" outlineLevel="0" collapsed="false">
      <c r="A6" s="50" t="s">
        <v>87</v>
      </c>
      <c r="B6" s="51" t="s">
        <v>88</v>
      </c>
      <c r="C6" s="52" t="s">
        <v>89</v>
      </c>
    </row>
    <row r="7" customFormat="false" ht="21.75" hidden="false" customHeight="true" outlineLevel="0" collapsed="false">
      <c r="A7" s="50" t="s">
        <v>90</v>
      </c>
      <c r="B7" s="51" t="s">
        <v>91</v>
      </c>
      <c r="C7" s="52" t="s">
        <v>92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B24" activeCellId="0" sqref="B24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true" outlineLevel="0" max="8" min="8" style="1" width="12"/>
    <col collapsed="false" customWidth="true" hidden="true" outlineLevel="0" max="9" min="9" style="1" width="14"/>
    <col collapsed="false" customWidth="true" hidden="false" outlineLevel="0" max="10" min="10" style="1" width="13"/>
    <col collapsed="false" customWidth="true" hidden="true" outlineLevel="0" max="11" min="11" style="1" width="13"/>
    <col collapsed="false" customWidth="true" hidden="tru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22" width="14.65"/>
    <col collapsed="false" customWidth="true" hidden="false" outlineLevel="0" max="17" min="17" style="22" width="7.78"/>
    <col collapsed="false" customWidth="true" hidden="false" outlineLevel="0" max="18" min="18" style="22" width="32.76"/>
    <col collapsed="false" customWidth="true" hidden="false" outlineLevel="0" max="19" min="19" style="22" width="32.35"/>
    <col collapsed="false" customWidth="true" hidden="false" outlineLevel="0" max="16384" min="16384" style="22" width="11.5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.75" hidden="false" customHeight="true" outlineLevel="0" collapsed="false">
      <c r="A3" s="4" t="s">
        <v>2</v>
      </c>
      <c r="B3" s="4"/>
      <c r="C3" s="4"/>
    </row>
    <row r="4" customFormat="false" ht="32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F4" s="22"/>
      <c r="G4" s="22"/>
      <c r="H4" s="22"/>
      <c r="N4" s="23" t="s">
        <v>74</v>
      </c>
      <c r="O4" s="23"/>
      <c r="P4" s="23"/>
    </row>
    <row r="5" customFormat="false" ht="42.75" hidden="false" customHeight="true" outlineLevel="0" collapsed="false">
      <c r="A5" s="6" t="s">
        <v>7</v>
      </c>
      <c r="B5" s="7" t="n">
        <v>0.65</v>
      </c>
      <c r="C5" s="8" t="s">
        <v>8</v>
      </c>
      <c r="D5" s="9" t="s">
        <v>9</v>
      </c>
      <c r="F5" s="22"/>
      <c r="G5" s="22"/>
      <c r="H5" s="22"/>
      <c r="N5" s="24" t="s">
        <v>75</v>
      </c>
      <c r="O5" s="24"/>
      <c r="P5" s="24" t="s">
        <v>76</v>
      </c>
      <c r="Q5" s="24"/>
      <c r="R5" s="24" t="s">
        <v>77</v>
      </c>
    </row>
    <row r="6" customFormat="false" ht="32.25" hidden="false" customHeight="true" outlineLevel="0" collapsed="false">
      <c r="A6" s="6" t="s">
        <v>10</v>
      </c>
      <c r="B6" s="7" t="n">
        <v>0.78</v>
      </c>
      <c r="C6" s="8" t="s">
        <v>11</v>
      </c>
      <c r="D6" s="9" t="s">
        <v>12</v>
      </c>
      <c r="F6" s="22"/>
      <c r="G6" s="22"/>
      <c r="H6" s="22"/>
      <c r="N6" s="53" t="s">
        <v>78</v>
      </c>
      <c r="O6" s="53"/>
      <c r="P6" s="54" t="s">
        <v>79</v>
      </c>
      <c r="Q6" s="54"/>
      <c r="R6" s="52" t="s">
        <v>80</v>
      </c>
    </row>
    <row r="7" customFormat="false" ht="32.25" hidden="false" customHeight="true" outlineLevel="0" collapsed="false">
      <c r="A7" s="6" t="s">
        <v>13</v>
      </c>
      <c r="B7" s="10" t="n">
        <v>5</v>
      </c>
      <c r="C7" s="8" t="s">
        <v>14</v>
      </c>
      <c r="D7" s="9" t="s">
        <v>15</v>
      </c>
      <c r="F7" s="22"/>
      <c r="G7" s="22"/>
      <c r="H7" s="22"/>
      <c r="N7" s="53" t="s">
        <v>81</v>
      </c>
      <c r="O7" s="53"/>
      <c r="P7" s="54" t="s">
        <v>82</v>
      </c>
      <c r="Q7" s="54"/>
      <c r="R7" s="52" t="s">
        <v>83</v>
      </c>
    </row>
    <row r="8" customFormat="false" ht="32.25" hidden="false" customHeight="true" outlineLevel="0" collapsed="false">
      <c r="A8" s="6" t="s">
        <v>16</v>
      </c>
      <c r="B8" s="10" t="n">
        <v>8</v>
      </c>
      <c r="C8" s="8" t="s">
        <v>17</v>
      </c>
      <c r="D8" s="9" t="s">
        <v>18</v>
      </c>
      <c r="F8" s="22"/>
      <c r="G8" s="22"/>
      <c r="H8" s="22"/>
      <c r="N8" s="53" t="s">
        <v>84</v>
      </c>
      <c r="O8" s="53"/>
      <c r="P8" s="54" t="s">
        <v>85</v>
      </c>
      <c r="Q8" s="54"/>
      <c r="R8" s="52" t="s">
        <v>86</v>
      </c>
    </row>
    <row r="9" customFormat="false" ht="32.25" hidden="false" customHeight="true" outlineLevel="0" collapsed="false">
      <c r="A9" s="22"/>
      <c r="B9" s="22"/>
      <c r="C9" s="22"/>
      <c r="D9" s="22"/>
      <c r="F9" s="22"/>
      <c r="G9" s="22"/>
      <c r="H9" s="22"/>
      <c r="N9" s="53" t="s">
        <v>87</v>
      </c>
      <c r="O9" s="53"/>
      <c r="P9" s="54" t="s">
        <v>88</v>
      </c>
      <c r="Q9" s="54"/>
      <c r="R9" s="52" t="s">
        <v>89</v>
      </c>
    </row>
    <row r="10" customFormat="false" ht="32.25" hidden="false" customHeight="true" outlineLevel="0" collapsed="false">
      <c r="A10" s="22"/>
      <c r="B10" s="22"/>
      <c r="C10" s="22"/>
      <c r="D10" s="22"/>
      <c r="F10" s="22"/>
      <c r="G10" s="22"/>
      <c r="H10" s="22"/>
      <c r="N10" s="53" t="s">
        <v>90</v>
      </c>
      <c r="O10" s="53"/>
      <c r="P10" s="54" t="s">
        <v>91</v>
      </c>
      <c r="Q10" s="54"/>
      <c r="R10" s="52" t="s">
        <v>92</v>
      </c>
    </row>
    <row r="11" customFormat="false" ht="24.4" hidden="false" customHeight="true" outlineLevel="0" collapsed="false"/>
    <row r="12" customFormat="false" ht="45" hidden="false" customHeight="true" outlineLevel="0" collapsed="false">
      <c r="A12" s="11" t="s">
        <v>19</v>
      </c>
      <c r="B12" s="11" t="s">
        <v>20</v>
      </c>
      <c r="C12" s="11" t="s">
        <v>7</v>
      </c>
      <c r="D12" s="11" t="s">
        <v>21</v>
      </c>
      <c r="E12" s="11" t="s">
        <v>22</v>
      </c>
      <c r="F12" s="11" t="s">
        <v>23</v>
      </c>
      <c r="G12" s="11" t="s">
        <v>24</v>
      </c>
      <c r="H12" s="11" t="s">
        <v>25</v>
      </c>
      <c r="I12" s="11" t="s">
        <v>26</v>
      </c>
      <c r="J12" s="11" t="s">
        <v>27</v>
      </c>
      <c r="K12" s="11" t="s">
        <v>28</v>
      </c>
      <c r="L12" s="11" t="s">
        <v>29</v>
      </c>
      <c r="M12" s="11" t="s">
        <v>93</v>
      </c>
      <c r="N12" s="11" t="s">
        <v>94</v>
      </c>
      <c r="O12" s="55" t="s">
        <v>95</v>
      </c>
      <c r="P12" s="56" t="s">
        <v>96</v>
      </c>
      <c r="Q12" s="56" t="s">
        <v>97</v>
      </c>
      <c r="R12" s="56"/>
    </row>
    <row r="13" customFormat="false" ht="19.5" hidden="false" customHeight="true" outlineLevel="0" collapsed="false">
      <c r="A13" s="12" t="s">
        <v>33</v>
      </c>
      <c r="B13" s="10" t="n">
        <v>90</v>
      </c>
      <c r="C13" s="13" t="n">
        <f aca="false">$B$5</f>
        <v>0.65</v>
      </c>
      <c r="D13" s="14" t="n">
        <f aca="false">ROUND($B$5*B13,0)</f>
        <v>59</v>
      </c>
      <c r="E13" s="10" t="n">
        <v>49</v>
      </c>
      <c r="F13" s="15"/>
      <c r="G13" s="16" t="n">
        <f aca="false">MAX(0,D13-IF(F13="",E13,F13))</f>
        <v>10</v>
      </c>
      <c r="H13" s="14" t="n">
        <f aca="false">G13*10</f>
        <v>100</v>
      </c>
      <c r="I13" s="14" t="n">
        <f aca="false">IFERROR(H13/$B$6,0)</f>
        <v>128.205128205128</v>
      </c>
      <c r="J13" s="16" t="n">
        <f aca="false">I13*$B$7</f>
        <v>641.025641025641</v>
      </c>
      <c r="K13" s="14" t="n">
        <f aca="false">IFERROR(IF(N13=0,"—",G13/N13),0)</f>
        <v>10</v>
      </c>
      <c r="L13" s="14" t="n">
        <f aca="false">IFERROR(IF(N13=0,"—",K13/$B$6),"—")</f>
        <v>12.8205128205128</v>
      </c>
      <c r="M13" s="17" t="n">
        <f aca="false">P13*Q13</f>
        <v>2.13675213675214</v>
      </c>
      <c r="N13" s="10" t="n">
        <v>1</v>
      </c>
      <c r="O13" s="57" t="n">
        <f aca="false">J13/3</f>
        <v>213.675213675214</v>
      </c>
      <c r="P13" s="58" t="n">
        <f aca="false">(O13/100)/N13</f>
        <v>2.13675213675214</v>
      </c>
      <c r="Q13" s="59" t="n">
        <f aca="false">N13</f>
        <v>1</v>
      </c>
      <c r="R13" s="60" t="s">
        <v>98</v>
      </c>
    </row>
    <row r="14" customFormat="false" ht="19.5" hidden="false" customHeight="true" outlineLevel="0" collapsed="false">
      <c r="A14" s="12" t="s">
        <v>34</v>
      </c>
      <c r="B14" s="10" t="n">
        <v>120</v>
      </c>
      <c r="C14" s="13" t="n">
        <f aca="false">$B$5</f>
        <v>0.65</v>
      </c>
      <c r="D14" s="14" t="n">
        <f aca="false">ROUND($B$5*B14,0)</f>
        <v>78</v>
      </c>
      <c r="E14" s="10" t="n">
        <v>39</v>
      </c>
      <c r="F14" s="15"/>
      <c r="G14" s="16" t="n">
        <f aca="false">MAX(0,D14-IF(F14="",E14,F14))</f>
        <v>39</v>
      </c>
      <c r="H14" s="14" t="n">
        <f aca="false">G14*10</f>
        <v>390</v>
      </c>
      <c r="I14" s="14" t="n">
        <f aca="false">IFERROR(H14/$B$6,0)</f>
        <v>500</v>
      </c>
      <c r="J14" s="16" t="n">
        <f aca="false">I14*$B$7</f>
        <v>2500</v>
      </c>
      <c r="K14" s="14" t="n">
        <f aca="false">IFERROR(IF(N14=0,"—",G14/N14),0)</f>
        <v>19.5</v>
      </c>
      <c r="L14" s="14" t="n">
        <f aca="false">IFERROR(IF(N14=0,"—",K14/$B$6),"—")</f>
        <v>25</v>
      </c>
      <c r="M14" s="17" t="n">
        <f aca="false">P14*Q14</f>
        <v>8.33333333333333</v>
      </c>
      <c r="N14" s="10" t="n">
        <v>2</v>
      </c>
      <c r="O14" s="57" t="n">
        <f aca="false">J14/3</f>
        <v>833.333333333333</v>
      </c>
      <c r="P14" s="58" t="n">
        <f aca="false">(O14/100)/N14</f>
        <v>4.16666666666667</v>
      </c>
      <c r="Q14" s="59" t="n">
        <f aca="false">N14</f>
        <v>2</v>
      </c>
      <c r="R14" s="60" t="s">
        <v>99</v>
      </c>
    </row>
    <row r="15" customFormat="false" ht="19.5" hidden="false" customHeight="true" outlineLevel="0" collapsed="false">
      <c r="A15" s="12" t="s">
        <v>35</v>
      </c>
      <c r="B15" s="10" t="n">
        <v>145</v>
      </c>
      <c r="C15" s="13" t="n">
        <f aca="false">$B$5</f>
        <v>0.65</v>
      </c>
      <c r="D15" s="14" t="n">
        <f aca="false">ROUND($B$5*B15,0)</f>
        <v>94</v>
      </c>
      <c r="E15" s="10" t="n">
        <v>24</v>
      </c>
      <c r="F15" s="15"/>
      <c r="G15" s="16" t="n">
        <f aca="false">MAX(0,D15-IF(F15="",E15,F15))</f>
        <v>70</v>
      </c>
      <c r="H15" s="14" t="n">
        <f aca="false">G15*10</f>
        <v>700</v>
      </c>
      <c r="I15" s="14" t="n">
        <f aca="false">IFERROR(H15/$B$6,0)</f>
        <v>897.435897435898</v>
      </c>
      <c r="J15" s="16" t="n">
        <f aca="false">I15*$B$7</f>
        <v>4487.17948717949</v>
      </c>
      <c r="K15" s="14" t="n">
        <f aca="false">IFERROR(IF(N15=0,"—",G15/N15),0)</f>
        <v>17.5</v>
      </c>
      <c r="L15" s="14" t="n">
        <f aca="false">IFERROR(IF(N15=0,"—",K15/$B$6),"—")</f>
        <v>22.4358974358974</v>
      </c>
      <c r="M15" s="17" t="n">
        <f aca="false">P15*Q15</f>
        <v>14.957264957265</v>
      </c>
      <c r="N15" s="10" t="n">
        <v>4</v>
      </c>
      <c r="O15" s="57" t="n">
        <f aca="false">J15/3</f>
        <v>1495.7264957265</v>
      </c>
      <c r="P15" s="58" t="n">
        <f aca="false">(O15/100)/N15</f>
        <v>3.73931623931624</v>
      </c>
      <c r="Q15" s="59" t="n">
        <f aca="false">N15</f>
        <v>4</v>
      </c>
      <c r="R15" s="60" t="s">
        <v>100</v>
      </c>
    </row>
    <row r="16" customFormat="false" ht="19.5" hidden="false" customHeight="true" outlineLevel="0" collapsed="false">
      <c r="A16" s="12" t="s">
        <v>36</v>
      </c>
      <c r="B16" s="10" t="n">
        <v>130</v>
      </c>
      <c r="C16" s="13" t="n">
        <f aca="false">$B$5</f>
        <v>0.65</v>
      </c>
      <c r="D16" s="14" t="n">
        <f aca="false">ROUND($B$5*B16,0)</f>
        <v>85</v>
      </c>
      <c r="E16" s="10" t="n">
        <v>46</v>
      </c>
      <c r="F16" s="15"/>
      <c r="G16" s="16" t="n">
        <f aca="false">MAX(0,D16-IF(F16="",E16,F16))</f>
        <v>39</v>
      </c>
      <c r="H16" s="14" t="n">
        <f aca="false">G16*10</f>
        <v>390</v>
      </c>
      <c r="I16" s="14" t="n">
        <f aca="false">IFERROR(H16/$B$6,0)</f>
        <v>500</v>
      </c>
      <c r="J16" s="16" t="n">
        <f aca="false">I16*$B$7</f>
        <v>2500</v>
      </c>
      <c r="K16" s="14" t="n">
        <f aca="false">IFERROR(IF(N16=0,"—",G16/N16),0)</f>
        <v>9.75</v>
      </c>
      <c r="L16" s="14" t="n">
        <f aca="false">IFERROR(IF(N16=0,"—",K16/$B$6),"—")</f>
        <v>12.5</v>
      </c>
      <c r="M16" s="17" t="n">
        <f aca="false">P16*Q16</f>
        <v>8.33333333333333</v>
      </c>
      <c r="N16" s="10" t="n">
        <v>4</v>
      </c>
      <c r="O16" s="57" t="n">
        <f aca="false">J16/3</f>
        <v>833.333333333333</v>
      </c>
      <c r="P16" s="58" t="n">
        <f aca="false">(O16/100)/N16</f>
        <v>2.08333333333333</v>
      </c>
      <c r="Q16" s="59" t="n">
        <f aca="false">N16</f>
        <v>4</v>
      </c>
      <c r="R16" s="60" t="s">
        <v>101</v>
      </c>
    </row>
    <row r="17" customFormat="false" ht="19.5" hidden="false" customHeight="true" outlineLevel="0" collapsed="false">
      <c r="A17" s="12" t="s">
        <v>37</v>
      </c>
      <c r="B17" s="10" t="n">
        <v>85</v>
      </c>
      <c r="C17" s="13" t="n">
        <f aca="false">$B$5</f>
        <v>0.65</v>
      </c>
      <c r="D17" s="14" t="n">
        <f aca="false">ROUND($B$5*B17,0)</f>
        <v>55</v>
      </c>
      <c r="E17" s="10" t="n">
        <v>55</v>
      </c>
      <c r="F17" s="15"/>
      <c r="G17" s="16" t="n">
        <f aca="false">MAX(0,D17-IF(F17="",E17,F17))</f>
        <v>0</v>
      </c>
      <c r="H17" s="14" t="n">
        <f aca="false">G17*10</f>
        <v>0</v>
      </c>
      <c r="I17" s="14" t="n">
        <f aca="false">IFERROR(H17/$B$6,0)</f>
        <v>0</v>
      </c>
      <c r="J17" s="16" t="n">
        <f aca="false">I17*$B$7</f>
        <v>0</v>
      </c>
      <c r="K17" s="14" t="str">
        <f aca="false">IFERROR(IF(N17=0,"—",G17/N17),0)</f>
        <v>—</v>
      </c>
      <c r="L17" s="14" t="str">
        <f aca="false">IFERROR(IF(N17=0,"—",K17/$B$6),"—")</f>
        <v>—</v>
      </c>
      <c r="M17" s="17" t="n">
        <f aca="false">P17*Q17</f>
        <v>0</v>
      </c>
      <c r="N17" s="10" t="n">
        <v>0</v>
      </c>
      <c r="O17" s="57" t="n">
        <f aca="false">J17/3</f>
        <v>0</v>
      </c>
      <c r="P17" s="61" t="n">
        <v>0</v>
      </c>
      <c r="Q17" s="59" t="n">
        <f aca="false">N17</f>
        <v>0</v>
      </c>
      <c r="R17" s="62"/>
    </row>
    <row r="18" customFormat="false" ht="21.75" hidden="false" customHeight="true" outlineLevel="0" collapsed="false">
      <c r="A18" s="19" t="s">
        <v>38</v>
      </c>
      <c r="B18" s="19" t="n">
        <f aca="false">SUM(B13:B17)</f>
        <v>570</v>
      </c>
      <c r="C18" s="20" t="s">
        <v>39</v>
      </c>
      <c r="D18" s="19" t="n">
        <f aca="false">SUM(D13:D17)</f>
        <v>371</v>
      </c>
      <c r="E18" s="19" t="n">
        <f aca="false">SUM(E13:E17)</f>
        <v>213</v>
      </c>
      <c r="F18" s="19" t="s">
        <v>40</v>
      </c>
      <c r="G18" s="19" t="n">
        <f aca="false">SUM(G13:G17)</f>
        <v>158</v>
      </c>
      <c r="H18" s="19" t="n">
        <f aca="false">SUM(H13:H17)</f>
        <v>1580</v>
      </c>
      <c r="I18" s="19" t="n">
        <f aca="false">SUM(I13:I17)</f>
        <v>2025.64102564103</v>
      </c>
      <c r="J18" s="19" t="n">
        <f aca="false">SUM(J13:J17)</f>
        <v>10128.2051282051</v>
      </c>
      <c r="K18" s="19" t="s">
        <v>40</v>
      </c>
      <c r="L18" s="19" t="s">
        <v>40</v>
      </c>
      <c r="M18" s="19" t="s">
        <v>40</v>
      </c>
      <c r="N18" s="19" t="s">
        <v>40</v>
      </c>
      <c r="O18" s="19" t="n">
        <f aca="false">SUM(O13:O17)</f>
        <v>3376.06837606838</v>
      </c>
      <c r="P18" s="63"/>
      <c r="Q18" s="64"/>
      <c r="R18" s="65"/>
    </row>
    <row r="19" customFormat="false" ht="30" hidden="false" customHeight="true" outlineLevel="0" collapsed="false">
      <c r="A19" s="66" t="s">
        <v>41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</row>
    <row r="22" customFormat="false" ht="13.8" hidden="false" customHeight="false" outlineLevel="0" collapsed="false">
      <c r="A22" s="22"/>
      <c r="B22" s="22"/>
      <c r="C22" s="22"/>
    </row>
    <row r="23" customFormat="false" ht="13.8" hidden="false" customHeight="false" outlineLevel="0" collapsed="false">
      <c r="A23" s="22"/>
      <c r="B23" s="22"/>
      <c r="C23" s="22"/>
    </row>
    <row r="24" customFormat="false" ht="13.8" hidden="false" customHeight="false" outlineLevel="0" collapsed="false">
      <c r="A24" s="22"/>
      <c r="B24" s="67" t="s">
        <v>102</v>
      </c>
      <c r="C24" s="68" t="s">
        <v>103</v>
      </c>
      <c r="D24" s="69" t="s">
        <v>104</v>
      </c>
    </row>
    <row r="25" customFormat="false" ht="13.8" hidden="false" customHeight="false" outlineLevel="0" collapsed="false">
      <c r="A25" s="22"/>
      <c r="B25" s="70"/>
      <c r="C25" s="70"/>
      <c r="D25" s="70"/>
    </row>
    <row r="26" customFormat="false" ht="13.8" hidden="false" customHeight="false" outlineLevel="0" collapsed="false">
      <c r="A26" s="22"/>
      <c r="B26" s="70"/>
      <c r="C26" s="70"/>
      <c r="D26" s="70"/>
    </row>
    <row r="27" customFormat="false" ht="13.8" hidden="false" customHeight="false" outlineLevel="0" collapsed="false">
      <c r="A27" s="22"/>
      <c r="B27" s="70"/>
      <c r="C27" s="70"/>
      <c r="D27" s="70"/>
    </row>
    <row r="28" customFormat="false" ht="13.8" hidden="false" customHeight="false" outlineLevel="0" collapsed="false">
      <c r="A28" s="22"/>
      <c r="B28" s="70"/>
      <c r="C28" s="70"/>
      <c r="D28" s="70"/>
    </row>
    <row r="29" customFormat="false" ht="13.8" hidden="false" customHeight="false" outlineLevel="0" collapsed="false">
      <c r="B29" s="70"/>
      <c r="C29" s="70"/>
      <c r="D29" s="70"/>
    </row>
    <row r="30" customFormat="false" ht="13.8" hidden="false" customHeight="false" outlineLevel="0" collapsed="false">
      <c r="B30" s="70"/>
      <c r="C30" s="70"/>
      <c r="D30" s="70"/>
    </row>
    <row r="31" customFormat="false" ht="13.8" hidden="false" customHeight="false" outlineLevel="0" collapsed="false">
      <c r="B31" s="70"/>
      <c r="C31" s="70"/>
      <c r="D31" s="70"/>
    </row>
    <row r="32" customFormat="false" ht="13.8" hidden="false" customHeight="false" outlineLevel="0" collapsed="false">
      <c r="B32" s="70"/>
      <c r="C32" s="70"/>
      <c r="D32" s="70"/>
    </row>
    <row r="33" customFormat="false" ht="13.8" hidden="false" customHeight="false" outlineLevel="0" collapsed="false">
      <c r="B33" s="70"/>
      <c r="C33" s="70"/>
      <c r="D33" s="70"/>
    </row>
    <row r="34" customFormat="false" ht="13.8" hidden="false" customHeight="false" outlineLevel="0" collapsed="false">
      <c r="B34" s="70"/>
      <c r="C34" s="70"/>
      <c r="D34" s="70"/>
    </row>
    <row r="35" customFormat="false" ht="13.8" hidden="false" customHeight="false" outlineLevel="0" collapsed="false">
      <c r="B35" s="70"/>
      <c r="C35" s="70"/>
      <c r="D35" s="70"/>
    </row>
    <row r="36" customFormat="false" ht="13.8" hidden="false" customHeight="false" outlineLevel="0" collapsed="false">
      <c r="B36" s="70"/>
      <c r="C36" s="70"/>
      <c r="D36" s="70"/>
    </row>
    <row r="37" customFormat="false" ht="13.8" hidden="false" customHeight="false" outlineLevel="0" collapsed="false">
      <c r="B37" s="70"/>
      <c r="C37" s="70"/>
      <c r="D37" s="70"/>
    </row>
    <row r="38" customFormat="false" ht="13.8" hidden="false" customHeight="false" outlineLevel="0" collapsed="false">
      <c r="B38" s="70"/>
      <c r="C38" s="70"/>
      <c r="D38" s="70"/>
    </row>
    <row r="39" customFormat="false" ht="13.8" hidden="false" customHeight="false" outlineLevel="0" collapsed="false">
      <c r="B39" s="70"/>
      <c r="C39" s="70"/>
      <c r="D39" s="70"/>
    </row>
    <row r="40" customFormat="false" ht="13.8" hidden="false" customHeight="false" outlineLevel="0" collapsed="false">
      <c r="B40" s="70"/>
      <c r="C40" s="70"/>
      <c r="D40" s="70"/>
    </row>
    <row r="41" customFormat="false" ht="13.8" hidden="false" customHeight="false" outlineLevel="0" collapsed="false">
      <c r="B41" s="70"/>
      <c r="C41" s="70"/>
      <c r="D41" s="70"/>
    </row>
  </sheetData>
  <mergeCells count="18">
    <mergeCell ref="A1:O1"/>
    <mergeCell ref="A2:O2"/>
    <mergeCell ref="A3:C3"/>
    <mergeCell ref="N4:P4"/>
    <mergeCell ref="N5:O5"/>
    <mergeCell ref="P5:Q5"/>
    <mergeCell ref="N6:O6"/>
    <mergeCell ref="P6:Q6"/>
    <mergeCell ref="N7:O7"/>
    <mergeCell ref="P7:Q7"/>
    <mergeCell ref="N8:O8"/>
    <mergeCell ref="P8:Q8"/>
    <mergeCell ref="N9:O9"/>
    <mergeCell ref="P9:Q9"/>
    <mergeCell ref="N10:O10"/>
    <mergeCell ref="P10:Q10"/>
    <mergeCell ref="Q12:R12"/>
    <mergeCell ref="A19:R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E1" colorId="64" zoomScale="110" zoomScaleNormal="110" zoomScalePageLayoutView="100" workbookViewId="0">
      <selection pane="topLeft" activeCell="I21" activeCellId="0" sqref="I2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22" width="15.89"/>
    <col collapsed="false" customWidth="true" hidden="false" outlineLevel="0" max="2" min="2" style="22" width="16.5"/>
    <col collapsed="false" customWidth="true" hidden="false" outlineLevel="0" max="3" min="3" style="22" width="20.85"/>
    <col collapsed="false" customWidth="true" hidden="false" outlineLevel="0" max="4" min="4" style="22" width="21.47"/>
    <col collapsed="false" customWidth="true" hidden="false" outlineLevel="0" max="5" min="5" style="22" width="16.98"/>
    <col collapsed="false" customWidth="true" hidden="false" outlineLevel="0" max="6" min="6" style="22" width="20.38"/>
    <col collapsed="false" customWidth="true" hidden="false" outlineLevel="0" max="7" min="7" style="70" width="15.28"/>
    <col collapsed="false" customWidth="true" hidden="false" outlineLevel="0" max="8" min="8" style="71" width="14.92"/>
    <col collapsed="false" customWidth="false" hidden="false" outlineLevel="0" max="9" min="9" style="71" width="11.53"/>
    <col collapsed="false" customWidth="false" hidden="false" outlineLevel="0" max="10" min="10" style="72" width="11.53"/>
    <col collapsed="false" customWidth="false" hidden="false" outlineLevel="0" max="12" min="11" style="71" width="11.53"/>
    <col collapsed="false" customWidth="false" hidden="false" outlineLevel="0" max="13" min="13" style="72" width="11.53"/>
    <col collapsed="false" customWidth="false" hidden="false" outlineLevel="0" max="15" min="14" style="71" width="11.53"/>
  </cols>
  <sheetData>
    <row r="1" customFormat="false" ht="13.8" hidden="false" customHeight="false" outlineLevel="0" collapsed="false">
      <c r="A1" s="73"/>
      <c r="B1" s="74" t="s">
        <v>105</v>
      </c>
      <c r="C1" s="74" t="s">
        <v>106</v>
      </c>
      <c r="D1" s="74" t="s">
        <v>107</v>
      </c>
      <c r="E1" s="74" t="s">
        <v>108</v>
      </c>
      <c r="F1" s="74" t="s">
        <v>109</v>
      </c>
    </row>
    <row r="2" customFormat="false" ht="13.8" hidden="false" customHeight="false" outlineLevel="0" collapsed="false">
      <c r="A2" s="67" t="s">
        <v>102</v>
      </c>
      <c r="B2" s="71" t="n">
        <v>246</v>
      </c>
      <c r="C2" s="71" t="n">
        <f aca="false">(B9*B2)/10000</f>
        <v>1.722</v>
      </c>
      <c r="D2" s="75" t="n">
        <f aca="false">B2/C9</f>
        <v>17.5714285714286</v>
      </c>
      <c r="E2" s="75" t="n">
        <f aca="false">E9*D2</f>
        <v>474.428571428571</v>
      </c>
      <c r="F2" s="76" t="n">
        <f aca="false">(E2/C2)/10</f>
        <v>27.5510204081633</v>
      </c>
    </row>
    <row r="3" customFormat="false" ht="13.8" hidden="false" customHeight="false" outlineLevel="0" collapsed="false">
      <c r="A3" s="68" t="s">
        <v>103</v>
      </c>
      <c r="B3" s="71" t="n">
        <v>241</v>
      </c>
      <c r="C3" s="71" t="n">
        <f aca="false">(B9*B3)/10000</f>
        <v>1.687</v>
      </c>
      <c r="D3" s="75" t="n">
        <f aca="false">B3/C9</f>
        <v>17.2142857142857</v>
      </c>
      <c r="E3" s="75" t="n">
        <f aca="false">E9*D3</f>
        <v>464.785714285714</v>
      </c>
      <c r="F3" s="76" t="n">
        <f aca="false">(E3/C3)/10</f>
        <v>27.5510204081633</v>
      </c>
    </row>
    <row r="4" customFormat="false" ht="13.8" hidden="false" customHeight="false" outlineLevel="0" collapsed="false">
      <c r="A4" s="69" t="s">
        <v>104</v>
      </c>
      <c r="B4" s="71" t="n">
        <v>160</v>
      </c>
      <c r="C4" s="71" t="n">
        <f aca="false">(B10*B4)/10000</f>
        <v>0.512</v>
      </c>
      <c r="D4" s="75" t="n">
        <f aca="false">B4/C10</f>
        <v>10</v>
      </c>
      <c r="E4" s="75" t="n">
        <f aca="false">E10*D4</f>
        <v>280</v>
      </c>
      <c r="F4" s="76" t="n">
        <f aca="false">(E4/C4)/10</f>
        <v>54.6875</v>
      </c>
    </row>
    <row r="8" customFormat="false" ht="13.8" hidden="false" customHeight="false" outlineLevel="0" collapsed="false">
      <c r="A8" s="73"/>
      <c r="B8" s="73" t="s">
        <v>110</v>
      </c>
      <c r="C8" s="73" t="s">
        <v>111</v>
      </c>
      <c r="D8" s="73" t="s">
        <v>112</v>
      </c>
      <c r="E8" s="73" t="s">
        <v>113</v>
      </c>
    </row>
    <row r="9" customFormat="false" ht="13.8" hidden="false" customHeight="false" outlineLevel="0" collapsed="false">
      <c r="A9" s="73" t="s">
        <v>114</v>
      </c>
      <c r="B9" s="22" t="n">
        <v>70</v>
      </c>
      <c r="C9" s="22" t="n">
        <v>14</v>
      </c>
      <c r="D9" s="22" t="n">
        <v>6</v>
      </c>
      <c r="E9" s="22" t="n">
        <v>27</v>
      </c>
    </row>
    <row r="10" customFormat="false" ht="13.8" hidden="false" customHeight="false" outlineLevel="0" collapsed="false">
      <c r="A10" s="73" t="s">
        <v>115</v>
      </c>
      <c r="B10" s="22" t="n">
        <v>32</v>
      </c>
      <c r="C10" s="22" t="n">
        <v>16</v>
      </c>
      <c r="D10" s="22" t="n">
        <v>4</v>
      </c>
      <c r="E10" s="22" t="n">
        <v>28</v>
      </c>
    </row>
    <row r="13" customFormat="false" ht="13.8" hidden="false" customHeight="false" outlineLevel="0" collapsed="false">
      <c r="G13" s="77" t="s">
        <v>102</v>
      </c>
      <c r="H13" s="77"/>
      <c r="I13" s="77"/>
      <c r="J13" s="78" t="s">
        <v>103</v>
      </c>
      <c r="K13" s="78"/>
      <c r="L13" s="78"/>
      <c r="M13" s="79" t="s">
        <v>104</v>
      </c>
      <c r="N13" s="79"/>
      <c r="O13" s="79"/>
    </row>
    <row r="14" customFormat="false" ht="13.8" hidden="false" customHeight="false" outlineLevel="0" collapsed="false">
      <c r="G14" s="80" t="s">
        <v>116</v>
      </c>
      <c r="H14" s="81" t="s">
        <v>117</v>
      </c>
      <c r="I14" s="81"/>
      <c r="J14" s="82" t="s">
        <v>116</v>
      </c>
      <c r="K14" s="83" t="s">
        <v>117</v>
      </c>
      <c r="L14" s="83"/>
      <c r="M14" s="84" t="s">
        <v>116</v>
      </c>
      <c r="N14" s="85" t="s">
        <v>117</v>
      </c>
      <c r="O14" s="85"/>
    </row>
    <row r="15" customFormat="false" ht="13.8" hidden="false" customHeight="false" outlineLevel="0" collapsed="false">
      <c r="G15" s="80"/>
      <c r="H15" s="86" t="s">
        <v>118</v>
      </c>
      <c r="I15" s="87" t="s">
        <v>119</v>
      </c>
      <c r="J15" s="82"/>
      <c r="K15" s="88" t="s">
        <v>118</v>
      </c>
      <c r="L15" s="89" t="s">
        <v>119</v>
      </c>
      <c r="M15" s="84"/>
      <c r="N15" s="90" t="s">
        <v>118</v>
      </c>
      <c r="O15" s="91" t="s">
        <v>119</v>
      </c>
    </row>
    <row r="16" customFormat="false" ht="13.15" hidden="false" customHeight="true" outlineLevel="0" collapsed="false">
      <c r="A16" s="73"/>
      <c r="B16" s="73"/>
      <c r="C16" s="73"/>
      <c r="D16" s="73"/>
      <c r="G16" s="92" t="n">
        <v>46198</v>
      </c>
      <c r="H16" s="93" t="n">
        <v>300</v>
      </c>
      <c r="I16" s="94" t="n">
        <f aca="false">(H16/C2)/10</f>
        <v>17.4216027874564</v>
      </c>
      <c r="J16" s="95"/>
      <c r="K16" s="96"/>
      <c r="L16" s="97" t="n">
        <f aca="false">(K16/C3)/10</f>
        <v>0</v>
      </c>
      <c r="M16" s="98" t="n">
        <v>46199</v>
      </c>
      <c r="N16" s="99" t="n">
        <f aca="false">E4</f>
        <v>280</v>
      </c>
      <c r="O16" s="100" t="n">
        <f aca="false">(N16/C4)/10</f>
        <v>54.6875</v>
      </c>
    </row>
    <row r="17" s="103" customFormat="true" ht="13.15" hidden="false" customHeight="true" outlineLevel="0" collapsed="false">
      <c r="A17" s="101"/>
      <c r="B17" s="102"/>
      <c r="C17" s="102"/>
      <c r="D17" s="102"/>
      <c r="G17" s="104" t="n">
        <v>46200</v>
      </c>
      <c r="H17" s="105" t="n">
        <f aca="false">E2</f>
        <v>474.428571428571</v>
      </c>
      <c r="I17" s="94" t="n">
        <f aca="false">(H17/C2)/10</f>
        <v>27.5510204081633</v>
      </c>
      <c r="J17" s="106"/>
      <c r="K17" s="107"/>
      <c r="L17" s="108"/>
      <c r="M17" s="109"/>
      <c r="N17" s="110"/>
      <c r="O17" s="111"/>
    </row>
    <row r="18" customFormat="false" ht="13.8" hidden="false" customHeight="false" outlineLevel="0" collapsed="false">
      <c r="B18" s="70"/>
      <c r="C18" s="70"/>
      <c r="D18" s="70"/>
      <c r="G18" s="104"/>
      <c r="H18" s="105" t="n">
        <f aca="false">H17</f>
        <v>474.428571428571</v>
      </c>
      <c r="I18" s="94" t="n">
        <f aca="false">(H18/C2)/10</f>
        <v>27.5510204081633</v>
      </c>
      <c r="J18" s="106"/>
      <c r="K18" s="107"/>
      <c r="L18" s="108"/>
      <c r="M18" s="109"/>
      <c r="N18" s="110"/>
      <c r="O18" s="111"/>
    </row>
    <row r="19" customFormat="false" ht="13.8" hidden="false" customHeight="false" outlineLevel="0" collapsed="false">
      <c r="B19" s="70"/>
      <c r="C19" s="70"/>
      <c r="D19" s="70"/>
      <c r="G19" s="104"/>
      <c r="H19" s="105" t="n">
        <f aca="false">H18</f>
        <v>474.428571428571</v>
      </c>
      <c r="I19" s="94" t="n">
        <f aca="false">(H19/C2)/10</f>
        <v>27.5510204081633</v>
      </c>
      <c r="J19" s="106"/>
      <c r="K19" s="107"/>
      <c r="L19" s="108"/>
      <c r="M19" s="109"/>
      <c r="N19" s="110"/>
      <c r="O19" s="111"/>
    </row>
    <row r="20" customFormat="false" ht="13.8" hidden="false" customHeight="false" outlineLevel="0" collapsed="false">
      <c r="B20" s="70"/>
      <c r="C20" s="70"/>
      <c r="D20" s="70"/>
      <c r="G20" s="104"/>
      <c r="H20" s="105" t="n">
        <f aca="false">H19</f>
        <v>474.428571428571</v>
      </c>
      <c r="I20" s="94" t="n">
        <f aca="false">(H20/C2)/10</f>
        <v>27.5510204081633</v>
      </c>
      <c r="J20" s="106"/>
      <c r="K20" s="107"/>
      <c r="L20" s="108"/>
      <c r="M20" s="109"/>
      <c r="N20" s="110"/>
      <c r="O20" s="111"/>
    </row>
    <row r="21" customFormat="false" ht="13.8" hidden="false" customHeight="false" outlineLevel="0" collapsed="false">
      <c r="B21" s="70"/>
      <c r="C21" s="70"/>
      <c r="D21" s="70"/>
      <c r="G21" s="104"/>
      <c r="H21" s="105" t="n">
        <f aca="false">H20</f>
        <v>474.428571428571</v>
      </c>
      <c r="I21" s="94" t="n">
        <f aca="false">(H21/C2)/10</f>
        <v>27.5510204081633</v>
      </c>
      <c r="J21" s="106"/>
      <c r="K21" s="107"/>
      <c r="L21" s="108"/>
      <c r="M21" s="109"/>
      <c r="N21" s="110"/>
      <c r="O21" s="111"/>
    </row>
    <row r="22" customFormat="false" ht="13.8" hidden="false" customHeight="false" outlineLevel="0" collapsed="false">
      <c r="B22" s="70"/>
      <c r="C22" s="70"/>
      <c r="D22" s="70"/>
      <c r="G22" s="104"/>
      <c r="H22" s="105" t="n">
        <f aca="false">H21</f>
        <v>474.428571428571</v>
      </c>
      <c r="I22" s="94" t="n">
        <f aca="false">(H22/C2)/10</f>
        <v>27.5510204081633</v>
      </c>
      <c r="J22" s="106"/>
      <c r="K22" s="107"/>
      <c r="L22" s="108"/>
      <c r="M22" s="109"/>
      <c r="N22" s="110"/>
      <c r="O22" s="111"/>
    </row>
    <row r="23" customFormat="false" ht="13.8" hidden="false" customHeight="false" outlineLevel="0" collapsed="false">
      <c r="B23" s="70"/>
      <c r="C23" s="70"/>
      <c r="D23" s="70"/>
      <c r="G23" s="104"/>
      <c r="H23" s="105" t="n">
        <f aca="false">H22</f>
        <v>474.428571428571</v>
      </c>
      <c r="I23" s="94" t="n">
        <f aca="false">(H23/C2)/10</f>
        <v>27.5510204081633</v>
      </c>
      <c r="J23" s="106"/>
      <c r="K23" s="107"/>
      <c r="L23" s="108"/>
      <c r="M23" s="109"/>
      <c r="N23" s="110"/>
      <c r="O23" s="111"/>
    </row>
    <row r="24" customFormat="false" ht="13.8" hidden="false" customHeight="false" outlineLevel="0" collapsed="false">
      <c r="B24" s="70"/>
      <c r="C24" s="70"/>
      <c r="D24" s="70"/>
      <c r="G24" s="104"/>
      <c r="H24" s="105" t="n">
        <f aca="false">H23</f>
        <v>474.428571428571</v>
      </c>
      <c r="I24" s="94" t="n">
        <f aca="false">(H24/C2)/10</f>
        <v>27.5510204081633</v>
      </c>
      <c r="J24" s="106"/>
      <c r="K24" s="107"/>
      <c r="L24" s="108"/>
      <c r="M24" s="109"/>
      <c r="N24" s="110"/>
      <c r="O24" s="111"/>
    </row>
    <row r="25" customFormat="false" ht="13.8" hidden="false" customHeight="false" outlineLevel="0" collapsed="false">
      <c r="B25" s="70"/>
      <c r="C25" s="70"/>
      <c r="D25" s="70"/>
      <c r="G25" s="104"/>
      <c r="H25" s="105" t="n">
        <f aca="false">H24</f>
        <v>474.428571428571</v>
      </c>
      <c r="I25" s="94" t="n">
        <f aca="false">(H25/C2)/10</f>
        <v>27.5510204081633</v>
      </c>
      <c r="J25" s="106"/>
      <c r="K25" s="107"/>
      <c r="L25" s="108"/>
      <c r="M25" s="109"/>
      <c r="N25" s="110"/>
      <c r="O25" s="111"/>
    </row>
    <row r="26" customFormat="false" ht="13.8" hidden="false" customHeight="false" outlineLevel="0" collapsed="false">
      <c r="B26" s="70"/>
      <c r="C26" s="70"/>
      <c r="D26" s="70"/>
      <c r="G26" s="104"/>
      <c r="H26" s="105" t="n">
        <f aca="false">H25</f>
        <v>474.428571428571</v>
      </c>
      <c r="I26" s="94" t="n">
        <f aca="false">(H26/C2)/10</f>
        <v>27.5510204081633</v>
      </c>
      <c r="J26" s="106"/>
      <c r="K26" s="107"/>
      <c r="L26" s="108"/>
      <c r="M26" s="109"/>
      <c r="N26" s="110"/>
      <c r="O26" s="111"/>
    </row>
    <row r="27" customFormat="false" ht="13.8" hidden="false" customHeight="false" outlineLevel="0" collapsed="false">
      <c r="B27" s="70"/>
      <c r="C27" s="70"/>
      <c r="D27" s="70"/>
      <c r="G27" s="104"/>
      <c r="H27" s="105" t="n">
        <f aca="false">H26</f>
        <v>474.428571428571</v>
      </c>
      <c r="I27" s="94" t="n">
        <f aca="false">(H27/C2)/10</f>
        <v>27.5510204081633</v>
      </c>
      <c r="J27" s="106"/>
      <c r="K27" s="107"/>
      <c r="L27" s="108"/>
      <c r="M27" s="109"/>
      <c r="N27" s="110"/>
      <c r="O27" s="111"/>
    </row>
    <row r="28" customFormat="false" ht="13.8" hidden="false" customHeight="false" outlineLevel="0" collapsed="false">
      <c r="B28" s="70"/>
      <c r="C28" s="70"/>
      <c r="D28" s="70"/>
      <c r="G28" s="104"/>
      <c r="H28" s="105" t="n">
        <f aca="false">H27</f>
        <v>474.428571428571</v>
      </c>
      <c r="I28" s="94" t="n">
        <f aca="false">(H28/C2)/10</f>
        <v>27.5510204081633</v>
      </c>
      <c r="J28" s="106"/>
      <c r="K28" s="107"/>
      <c r="L28" s="108"/>
      <c r="M28" s="109"/>
      <c r="N28" s="110"/>
      <c r="O28" s="111"/>
    </row>
    <row r="29" customFormat="false" ht="13.8" hidden="false" customHeight="false" outlineLevel="0" collapsed="false">
      <c r="B29" s="70"/>
      <c r="C29" s="70"/>
      <c r="D29" s="70"/>
      <c r="G29" s="104"/>
      <c r="H29" s="105" t="n">
        <f aca="false">H28</f>
        <v>474.428571428571</v>
      </c>
      <c r="I29" s="94" t="n">
        <f aca="false">(H29/C2)/10</f>
        <v>27.5510204081633</v>
      </c>
      <c r="J29" s="106"/>
      <c r="K29" s="107"/>
      <c r="L29" s="108"/>
      <c r="M29" s="109"/>
      <c r="N29" s="110"/>
      <c r="O29" s="111"/>
    </row>
    <row r="30" customFormat="false" ht="13.8" hidden="false" customHeight="false" outlineLevel="0" collapsed="false">
      <c r="B30" s="70"/>
      <c r="C30" s="70"/>
      <c r="D30" s="70"/>
      <c r="G30" s="104"/>
      <c r="H30" s="105" t="n">
        <f aca="false">H29</f>
        <v>474.428571428571</v>
      </c>
      <c r="I30" s="94" t="n">
        <f aca="false">(H30/C2)/10</f>
        <v>27.5510204081633</v>
      </c>
      <c r="J30" s="106"/>
      <c r="K30" s="107"/>
      <c r="L30" s="108"/>
      <c r="M30" s="109"/>
      <c r="N30" s="110"/>
      <c r="O30" s="111"/>
    </row>
    <row r="31" customFormat="false" ht="13.8" hidden="false" customHeight="false" outlineLevel="0" collapsed="false">
      <c r="B31" s="70"/>
      <c r="C31" s="70"/>
      <c r="D31" s="70"/>
      <c r="G31" s="104"/>
      <c r="H31" s="105" t="n">
        <f aca="false">H30</f>
        <v>474.428571428571</v>
      </c>
      <c r="I31" s="94" t="n">
        <f aca="false">(H31/C2)/10</f>
        <v>27.5510204081633</v>
      </c>
      <c r="J31" s="106"/>
      <c r="K31" s="107"/>
      <c r="L31" s="108"/>
      <c r="M31" s="109"/>
      <c r="N31" s="110"/>
      <c r="O31" s="111"/>
    </row>
    <row r="32" customFormat="false" ht="13.8" hidden="false" customHeight="false" outlineLevel="0" collapsed="false">
      <c r="B32" s="70"/>
      <c r="C32" s="70"/>
      <c r="D32" s="70"/>
      <c r="G32" s="104"/>
      <c r="H32" s="105" t="n">
        <f aca="false">H31</f>
        <v>474.428571428571</v>
      </c>
      <c r="I32" s="94" t="n">
        <f aca="false">(H32/C2)/10</f>
        <v>27.5510204081633</v>
      </c>
      <c r="J32" s="106"/>
      <c r="K32" s="107"/>
      <c r="L32" s="108"/>
      <c r="M32" s="109"/>
      <c r="N32" s="110"/>
      <c r="O32" s="111"/>
    </row>
    <row r="33" customFormat="false" ht="13.8" hidden="false" customHeight="false" outlineLevel="0" collapsed="false">
      <c r="B33" s="70"/>
      <c r="C33" s="70"/>
      <c r="D33" s="70"/>
      <c r="G33" s="104"/>
      <c r="H33" s="105" t="n">
        <f aca="false">H32</f>
        <v>474.428571428571</v>
      </c>
      <c r="I33" s="94" t="n">
        <f aca="false">(H33/C2)/10</f>
        <v>27.5510204081633</v>
      </c>
      <c r="J33" s="106"/>
      <c r="K33" s="107"/>
      <c r="L33" s="108"/>
      <c r="M33" s="109"/>
      <c r="N33" s="110"/>
      <c r="O33" s="111"/>
    </row>
    <row r="34" customFormat="false" ht="13.8" hidden="false" customHeight="false" outlineLevel="0" collapsed="false">
      <c r="B34" s="70"/>
      <c r="C34" s="70"/>
      <c r="D34" s="70"/>
      <c r="G34" s="104"/>
      <c r="H34" s="105" t="n">
        <f aca="false">H33</f>
        <v>474.428571428571</v>
      </c>
      <c r="I34" s="94" t="n">
        <f aca="false">(H34/C2)/10</f>
        <v>27.5510204081633</v>
      </c>
      <c r="J34" s="106"/>
      <c r="K34" s="107"/>
      <c r="L34" s="108"/>
      <c r="M34" s="109"/>
      <c r="N34" s="110"/>
      <c r="O34" s="111"/>
    </row>
    <row r="35" customFormat="false" ht="13.8" hidden="false" customHeight="false" outlineLevel="0" collapsed="false">
      <c r="B35" s="112"/>
      <c r="C35" s="112"/>
      <c r="D35" s="112"/>
      <c r="G35" s="104"/>
      <c r="H35" s="105" t="n">
        <f aca="false">H34</f>
        <v>474.428571428571</v>
      </c>
      <c r="I35" s="94" t="n">
        <f aca="false">(H35/C2)/10</f>
        <v>27.5510204081633</v>
      </c>
      <c r="J35" s="106"/>
      <c r="K35" s="107"/>
      <c r="L35" s="108"/>
      <c r="M35" s="109"/>
      <c r="N35" s="110"/>
      <c r="O35" s="111"/>
    </row>
    <row r="36" customFormat="false" ht="13.8" hidden="false" customHeight="false" outlineLevel="0" collapsed="false">
      <c r="B36" s="112"/>
      <c r="C36" s="112"/>
      <c r="D36" s="112"/>
      <c r="G36" s="104"/>
      <c r="H36" s="105" t="n">
        <f aca="false">H35</f>
        <v>474.428571428571</v>
      </c>
      <c r="I36" s="94" t="n">
        <f aca="false">(H36/C2)/10</f>
        <v>27.5510204081633</v>
      </c>
      <c r="J36" s="106"/>
      <c r="K36" s="107"/>
      <c r="L36" s="108"/>
      <c r="M36" s="109"/>
      <c r="N36" s="110"/>
      <c r="O36" s="111"/>
    </row>
    <row r="37" customFormat="false" ht="13.8" hidden="false" customHeight="false" outlineLevel="0" collapsed="false">
      <c r="G37" s="104"/>
      <c r="H37" s="105" t="n">
        <f aca="false">H36</f>
        <v>474.428571428571</v>
      </c>
      <c r="I37" s="94" t="n">
        <f aca="false">(H37/C2)/10</f>
        <v>27.5510204081633</v>
      </c>
      <c r="J37" s="106"/>
      <c r="K37" s="107"/>
      <c r="L37" s="108"/>
      <c r="M37" s="109"/>
      <c r="N37" s="110"/>
      <c r="O37" s="111"/>
    </row>
    <row r="38" customFormat="false" ht="13.8" hidden="false" customHeight="false" outlineLevel="0" collapsed="false">
      <c r="G38" s="104"/>
      <c r="H38" s="105" t="n">
        <f aca="false">H37</f>
        <v>474.428571428571</v>
      </c>
      <c r="I38" s="94" t="n">
        <f aca="false">(H38/C2)/10</f>
        <v>27.5510204081633</v>
      </c>
      <c r="J38" s="106"/>
      <c r="K38" s="107"/>
      <c r="L38" s="108"/>
      <c r="M38" s="109"/>
      <c r="N38" s="110"/>
      <c r="O38" s="111"/>
    </row>
    <row r="39" customFormat="false" ht="13.8" hidden="false" customHeight="false" outlineLevel="0" collapsed="false">
      <c r="G39" s="104"/>
      <c r="H39" s="105" t="n">
        <f aca="false">H38</f>
        <v>474.428571428571</v>
      </c>
      <c r="I39" s="94" t="n">
        <f aca="false">(H39/C2)/10</f>
        <v>27.5510204081633</v>
      </c>
      <c r="J39" s="106"/>
      <c r="K39" s="107"/>
      <c r="L39" s="108"/>
      <c r="M39" s="109"/>
      <c r="N39" s="110"/>
      <c r="O39" s="111"/>
    </row>
    <row r="40" customFormat="false" ht="13.8" hidden="false" customHeight="false" outlineLevel="0" collapsed="false">
      <c r="G40" s="104"/>
      <c r="H40" s="105" t="n">
        <f aca="false">H39</f>
        <v>474.428571428571</v>
      </c>
      <c r="I40" s="94" t="n">
        <f aca="false">(H40/C2)/10</f>
        <v>27.5510204081633</v>
      </c>
      <c r="J40" s="106"/>
      <c r="K40" s="107"/>
      <c r="L40" s="108"/>
      <c r="M40" s="109"/>
      <c r="N40" s="110"/>
      <c r="O40" s="111"/>
    </row>
    <row r="41" customFormat="false" ht="13.8" hidden="false" customHeight="false" outlineLevel="0" collapsed="false">
      <c r="G41" s="104"/>
      <c r="H41" s="105" t="n">
        <f aca="false">H40</f>
        <v>474.428571428571</v>
      </c>
      <c r="I41" s="94" t="n">
        <f aca="false">(H41/C2)/10</f>
        <v>27.5510204081633</v>
      </c>
      <c r="J41" s="106"/>
      <c r="K41" s="107"/>
      <c r="L41" s="108"/>
      <c r="M41" s="109"/>
      <c r="N41" s="110"/>
      <c r="O41" s="111"/>
    </row>
    <row r="42" customFormat="false" ht="13.8" hidden="false" customHeight="false" outlineLevel="0" collapsed="false">
      <c r="G42" s="104"/>
      <c r="H42" s="105" t="n">
        <f aca="false">H41</f>
        <v>474.428571428571</v>
      </c>
      <c r="I42" s="94" t="n">
        <f aca="false">(H42/C2)/10</f>
        <v>27.5510204081633</v>
      </c>
      <c r="J42" s="106"/>
      <c r="K42" s="107"/>
      <c r="L42" s="108"/>
      <c r="M42" s="109"/>
      <c r="N42" s="110"/>
      <c r="O42" s="111"/>
    </row>
    <row r="43" customFormat="false" ht="13.8" hidden="false" customHeight="false" outlineLevel="0" collapsed="false">
      <c r="G43" s="104"/>
      <c r="H43" s="105" t="n">
        <f aca="false">H42</f>
        <v>474.428571428571</v>
      </c>
      <c r="I43" s="94" t="n">
        <f aca="false">(H43/C2)/10</f>
        <v>27.5510204081633</v>
      </c>
      <c r="J43" s="106"/>
      <c r="K43" s="107"/>
      <c r="L43" s="108"/>
      <c r="M43" s="109"/>
      <c r="N43" s="110"/>
      <c r="O43" s="111"/>
    </row>
    <row r="44" customFormat="false" ht="13.8" hidden="false" customHeight="false" outlineLevel="0" collapsed="false">
      <c r="G44" s="104"/>
      <c r="H44" s="105" t="n">
        <f aca="false">H43</f>
        <v>474.428571428571</v>
      </c>
      <c r="I44" s="94" t="n">
        <f aca="false">(H44/C2)/10</f>
        <v>27.5510204081633</v>
      </c>
      <c r="J44" s="106"/>
      <c r="K44" s="107"/>
      <c r="L44" s="108"/>
      <c r="M44" s="109"/>
      <c r="N44" s="110"/>
      <c r="O44" s="111"/>
    </row>
    <row r="45" customFormat="false" ht="13.8" hidden="false" customHeight="false" outlineLevel="0" collapsed="false">
      <c r="G45" s="113"/>
      <c r="H45" s="105" t="n">
        <f aca="false">H44</f>
        <v>474.428571428571</v>
      </c>
      <c r="I45" s="94" t="n">
        <f aca="false">(H45/C2)/10</f>
        <v>27.5510204081633</v>
      </c>
      <c r="J45" s="114"/>
      <c r="K45" s="115"/>
      <c r="L45" s="116"/>
      <c r="M45" s="117"/>
      <c r="N45" s="118"/>
      <c r="O45" s="119"/>
    </row>
  </sheetData>
  <mergeCells count="9">
    <mergeCell ref="G13:I13"/>
    <mergeCell ref="J13:L13"/>
    <mergeCell ref="M13:O13"/>
    <mergeCell ref="G14:G15"/>
    <mergeCell ref="H14:I14"/>
    <mergeCell ref="J14:J15"/>
    <mergeCell ref="K14:L14"/>
    <mergeCell ref="M14:M15"/>
    <mergeCell ref="N14:O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7" activeCellId="0" sqref="I1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22" width="15.89"/>
    <col collapsed="false" customWidth="true" hidden="false" outlineLevel="0" max="2" min="2" style="22" width="16.5"/>
    <col collapsed="false" customWidth="true" hidden="false" outlineLevel="0" max="3" min="3" style="22" width="20.85"/>
    <col collapsed="false" customWidth="true" hidden="false" outlineLevel="0" max="4" min="4" style="22" width="21.47"/>
    <col collapsed="false" customWidth="true" hidden="false" outlineLevel="0" max="5" min="5" style="22" width="16.98"/>
    <col collapsed="false" customWidth="true" hidden="false" outlineLevel="0" max="6" min="6" style="22" width="20.38"/>
    <col collapsed="false" customWidth="true" hidden="false" outlineLevel="0" max="7" min="7" style="70" width="15.28"/>
    <col collapsed="false" customWidth="true" hidden="false" outlineLevel="0" max="8" min="8" style="71" width="14.92"/>
    <col collapsed="false" customWidth="false" hidden="false" outlineLevel="0" max="9" min="9" style="71" width="11.53"/>
    <col collapsed="false" customWidth="false" hidden="false" outlineLevel="0" max="10" min="10" style="72" width="11.53"/>
    <col collapsed="false" customWidth="false" hidden="false" outlineLevel="0" max="12" min="11" style="71" width="11.53"/>
    <col collapsed="false" customWidth="false" hidden="false" outlineLevel="0" max="13" min="13" style="72" width="11.53"/>
    <col collapsed="false" customWidth="false" hidden="false" outlineLevel="0" max="15" min="14" style="71" width="11.53"/>
  </cols>
  <sheetData>
    <row r="1" customFormat="false" ht="13.8" hidden="false" customHeight="false" outlineLevel="0" collapsed="false">
      <c r="A1" s="73"/>
      <c r="B1" s="74" t="s">
        <v>105</v>
      </c>
      <c r="C1" s="74" t="s">
        <v>106</v>
      </c>
      <c r="D1" s="74" t="s">
        <v>120</v>
      </c>
      <c r="E1" s="74" t="s">
        <v>108</v>
      </c>
      <c r="F1" s="74" t="s">
        <v>109</v>
      </c>
    </row>
    <row r="2" customFormat="false" ht="13.8" hidden="false" customHeight="false" outlineLevel="0" collapsed="false">
      <c r="A2" s="67" t="s">
        <v>102</v>
      </c>
      <c r="B2" s="71"/>
      <c r="C2" s="71" t="n">
        <v>0.7</v>
      </c>
      <c r="D2" s="75" t="n">
        <v>12</v>
      </c>
      <c r="E2" s="75" t="n">
        <v>362</v>
      </c>
      <c r="F2" s="76" t="n">
        <f aca="false">(E2/C2)/10</f>
        <v>51.7142857142857</v>
      </c>
    </row>
    <row r="3" customFormat="false" ht="13.8" hidden="false" customHeight="false" outlineLevel="0" collapsed="false">
      <c r="A3" s="68" t="s">
        <v>103</v>
      </c>
      <c r="B3" s="71"/>
      <c r="C3" s="71" t="n">
        <f aca="false">(B9*B3)/10000</f>
        <v>0</v>
      </c>
      <c r="D3" s="75" t="e">
        <f aca="false">B3/C9</f>
        <v>#DIV/0!</v>
      </c>
      <c r="E3" s="75" t="e">
        <f aca="false">E9*D3</f>
        <v>#DIV/0!</v>
      </c>
      <c r="F3" s="76" t="e">
        <f aca="false">(E3/C3)/10</f>
        <v>#DIV/0!</v>
      </c>
    </row>
    <row r="4" customFormat="false" ht="13.8" hidden="false" customHeight="false" outlineLevel="0" collapsed="false">
      <c r="A4" s="69" t="s">
        <v>104</v>
      </c>
      <c r="B4" s="71"/>
      <c r="C4" s="71" t="n">
        <f aca="false">(B10*B4)/10000</f>
        <v>0</v>
      </c>
      <c r="D4" s="75" t="e">
        <f aca="false">B4/C10</f>
        <v>#DIV/0!</v>
      </c>
      <c r="E4" s="75" t="e">
        <f aca="false">E10*D4</f>
        <v>#DIV/0!</v>
      </c>
      <c r="F4" s="76" t="e">
        <f aca="false">(E4/C4)/10</f>
        <v>#DIV/0!</v>
      </c>
    </row>
    <row r="8" customFormat="false" ht="13.8" hidden="false" customHeight="false" outlineLevel="0" collapsed="false">
      <c r="A8" s="73"/>
      <c r="B8" s="73" t="s">
        <v>110</v>
      </c>
      <c r="C8" s="73" t="s">
        <v>111</v>
      </c>
      <c r="D8" s="73" t="s">
        <v>112</v>
      </c>
      <c r="E8" s="73" t="s">
        <v>113</v>
      </c>
    </row>
    <row r="9" customFormat="false" ht="13.8" hidden="false" customHeight="false" outlineLevel="0" collapsed="false">
      <c r="A9" s="73"/>
      <c r="E9" s="1" t="n">
        <f aca="false">E2/D2</f>
        <v>30.1666666666667</v>
      </c>
    </row>
    <row r="10" customFormat="false" ht="13.8" hidden="false" customHeight="false" outlineLevel="0" collapsed="false">
      <c r="A10" s="73"/>
    </row>
    <row r="13" customFormat="false" ht="13.8" hidden="false" customHeight="false" outlineLevel="0" collapsed="false">
      <c r="G13" s="77" t="s">
        <v>102</v>
      </c>
      <c r="H13" s="77"/>
      <c r="I13" s="77"/>
      <c r="J13" s="78" t="s">
        <v>103</v>
      </c>
      <c r="K13" s="78"/>
      <c r="L13" s="78"/>
      <c r="M13" s="79" t="s">
        <v>104</v>
      </c>
      <c r="N13" s="79"/>
      <c r="O13" s="79"/>
    </row>
    <row r="14" customFormat="false" ht="13.8" hidden="false" customHeight="false" outlineLevel="0" collapsed="false">
      <c r="G14" s="80" t="s">
        <v>116</v>
      </c>
      <c r="H14" s="81" t="s">
        <v>117</v>
      </c>
      <c r="I14" s="81"/>
      <c r="J14" s="82" t="s">
        <v>116</v>
      </c>
      <c r="K14" s="83" t="s">
        <v>117</v>
      </c>
      <c r="L14" s="83"/>
      <c r="M14" s="84" t="s">
        <v>116</v>
      </c>
      <c r="N14" s="85" t="s">
        <v>117</v>
      </c>
      <c r="O14" s="85"/>
    </row>
    <row r="15" customFormat="false" ht="13.8" hidden="false" customHeight="false" outlineLevel="0" collapsed="false">
      <c r="G15" s="80"/>
      <c r="H15" s="86" t="s">
        <v>118</v>
      </c>
      <c r="I15" s="87" t="s">
        <v>119</v>
      </c>
      <c r="J15" s="82"/>
      <c r="K15" s="88" t="s">
        <v>118</v>
      </c>
      <c r="L15" s="89" t="s">
        <v>119</v>
      </c>
      <c r="M15" s="84"/>
      <c r="N15" s="90" t="s">
        <v>118</v>
      </c>
      <c r="O15" s="91" t="s">
        <v>119</v>
      </c>
    </row>
    <row r="16" customFormat="false" ht="13.15" hidden="false" customHeight="true" outlineLevel="0" collapsed="false">
      <c r="A16" s="73"/>
      <c r="B16" s="73"/>
      <c r="C16" s="73"/>
      <c r="D16" s="73"/>
      <c r="G16" s="92" t="n">
        <v>46202</v>
      </c>
      <c r="H16" s="94" t="n">
        <f aca="false">E2</f>
        <v>362</v>
      </c>
      <c r="I16" s="94" t="n">
        <f aca="false">F2</f>
        <v>51.7142857142857</v>
      </c>
      <c r="J16" s="95"/>
      <c r="K16" s="96"/>
      <c r="L16" s="97" t="e">
        <f aca="false">(K16/C3)/10</f>
        <v>#DIV/0!</v>
      </c>
      <c r="M16" s="98" t="n">
        <v>46199</v>
      </c>
      <c r="N16" s="99" t="e">
        <f aca="false">E4</f>
        <v>#DIV/0!</v>
      </c>
      <c r="O16" s="100" t="e">
        <f aca="false">(N16/C4)/10</f>
        <v>#DIV/0!</v>
      </c>
    </row>
    <row r="17" customFormat="false" ht="13.15" hidden="false" customHeight="true" outlineLevel="0" collapsed="false">
      <c r="A17" s="101"/>
      <c r="B17" s="102"/>
      <c r="C17" s="102"/>
      <c r="D17" s="102"/>
      <c r="E17" s="103"/>
      <c r="F17" s="103"/>
      <c r="G17" s="92"/>
      <c r="H17" s="105" t="n">
        <f aca="false">E2</f>
        <v>362</v>
      </c>
      <c r="I17" s="94" t="n">
        <f aca="false">(H17/C2)/10</f>
        <v>51.7142857142857</v>
      </c>
      <c r="J17" s="106"/>
      <c r="K17" s="107"/>
      <c r="L17" s="108"/>
      <c r="M17" s="109"/>
      <c r="N17" s="110"/>
      <c r="O17" s="111"/>
    </row>
    <row r="18" customFormat="false" ht="13.8" hidden="false" customHeight="false" outlineLevel="0" collapsed="false">
      <c r="B18" s="70"/>
      <c r="C18" s="70"/>
      <c r="D18" s="70"/>
      <c r="G18" s="104"/>
      <c r="H18" s="105" t="n">
        <f aca="false">H17</f>
        <v>362</v>
      </c>
      <c r="I18" s="94" t="n">
        <f aca="false">(H18/C2)/10</f>
        <v>51.7142857142857</v>
      </c>
      <c r="J18" s="106"/>
      <c r="K18" s="107"/>
      <c r="L18" s="108"/>
      <c r="M18" s="109"/>
      <c r="N18" s="110"/>
      <c r="O18" s="111"/>
    </row>
    <row r="19" customFormat="false" ht="13.8" hidden="false" customHeight="false" outlineLevel="0" collapsed="false">
      <c r="B19" s="70"/>
      <c r="C19" s="70"/>
      <c r="D19" s="70"/>
      <c r="G19" s="104"/>
      <c r="H19" s="105" t="n">
        <f aca="false">H18</f>
        <v>362</v>
      </c>
      <c r="I19" s="94" t="n">
        <f aca="false">(H19/C2)/10</f>
        <v>51.7142857142857</v>
      </c>
      <c r="J19" s="106"/>
      <c r="K19" s="107"/>
      <c r="L19" s="108"/>
      <c r="M19" s="109"/>
      <c r="N19" s="110"/>
      <c r="O19" s="111"/>
    </row>
    <row r="20" customFormat="false" ht="13.8" hidden="false" customHeight="false" outlineLevel="0" collapsed="false">
      <c r="B20" s="70"/>
      <c r="C20" s="70"/>
      <c r="D20" s="70"/>
      <c r="G20" s="104"/>
      <c r="H20" s="105" t="n">
        <f aca="false">H19</f>
        <v>362</v>
      </c>
      <c r="I20" s="94" t="n">
        <f aca="false">(H20/C2)/10</f>
        <v>51.7142857142857</v>
      </c>
      <c r="J20" s="106"/>
      <c r="K20" s="107"/>
      <c r="L20" s="108"/>
      <c r="M20" s="109"/>
      <c r="N20" s="110"/>
      <c r="O20" s="111"/>
    </row>
    <row r="21" customFormat="false" ht="13.8" hidden="false" customHeight="false" outlineLevel="0" collapsed="false">
      <c r="B21" s="70"/>
      <c r="C21" s="70"/>
      <c r="D21" s="70"/>
      <c r="G21" s="104"/>
      <c r="H21" s="105" t="n">
        <f aca="false">H20</f>
        <v>362</v>
      </c>
      <c r="I21" s="94" t="n">
        <f aca="false">(H21/C2)/10</f>
        <v>51.7142857142857</v>
      </c>
      <c r="J21" s="106"/>
      <c r="K21" s="107"/>
      <c r="L21" s="108"/>
      <c r="M21" s="109"/>
      <c r="N21" s="110"/>
      <c r="O21" s="111"/>
    </row>
    <row r="22" customFormat="false" ht="13.8" hidden="false" customHeight="false" outlineLevel="0" collapsed="false">
      <c r="B22" s="70"/>
      <c r="C22" s="70"/>
      <c r="D22" s="70"/>
      <c r="G22" s="104"/>
      <c r="H22" s="105" t="n">
        <f aca="false">H21</f>
        <v>362</v>
      </c>
      <c r="I22" s="94" t="n">
        <f aca="false">(H22/C2)/10</f>
        <v>51.7142857142857</v>
      </c>
      <c r="J22" s="106"/>
      <c r="K22" s="107"/>
      <c r="L22" s="108"/>
      <c r="M22" s="109"/>
      <c r="N22" s="110"/>
      <c r="O22" s="111"/>
    </row>
    <row r="23" customFormat="false" ht="13.8" hidden="false" customHeight="false" outlineLevel="0" collapsed="false">
      <c r="B23" s="70"/>
      <c r="C23" s="70"/>
      <c r="D23" s="70"/>
      <c r="G23" s="104"/>
      <c r="H23" s="105" t="n">
        <f aca="false">H22</f>
        <v>362</v>
      </c>
      <c r="I23" s="94" t="n">
        <f aca="false">(H23/C2)/10</f>
        <v>51.7142857142857</v>
      </c>
      <c r="J23" s="106"/>
      <c r="K23" s="107"/>
      <c r="L23" s="108"/>
      <c r="M23" s="109"/>
      <c r="N23" s="110"/>
      <c r="O23" s="111"/>
    </row>
    <row r="24" customFormat="false" ht="13.8" hidden="false" customHeight="false" outlineLevel="0" collapsed="false">
      <c r="B24" s="70"/>
      <c r="C24" s="70"/>
      <c r="D24" s="70"/>
      <c r="G24" s="104"/>
      <c r="H24" s="105" t="n">
        <f aca="false">H23</f>
        <v>362</v>
      </c>
      <c r="I24" s="94" t="n">
        <f aca="false">(H24/C2)/10</f>
        <v>51.7142857142857</v>
      </c>
      <c r="J24" s="106"/>
      <c r="K24" s="107"/>
      <c r="L24" s="108"/>
      <c r="M24" s="109"/>
      <c r="N24" s="110"/>
      <c r="O24" s="111"/>
    </row>
    <row r="25" customFormat="false" ht="13.8" hidden="false" customHeight="false" outlineLevel="0" collapsed="false">
      <c r="B25" s="70"/>
      <c r="C25" s="70"/>
      <c r="D25" s="70"/>
      <c r="G25" s="104"/>
      <c r="H25" s="105" t="n">
        <f aca="false">H24</f>
        <v>362</v>
      </c>
      <c r="I25" s="94" t="n">
        <f aca="false">(H25/C2)/10</f>
        <v>51.7142857142857</v>
      </c>
      <c r="J25" s="106"/>
      <c r="K25" s="107"/>
      <c r="L25" s="108"/>
      <c r="M25" s="109"/>
      <c r="N25" s="110"/>
      <c r="O25" s="111"/>
    </row>
    <row r="26" customFormat="false" ht="13.8" hidden="false" customHeight="false" outlineLevel="0" collapsed="false">
      <c r="B26" s="70"/>
      <c r="C26" s="70"/>
      <c r="D26" s="70"/>
      <c r="G26" s="104"/>
      <c r="H26" s="105" t="n">
        <f aca="false">H25</f>
        <v>362</v>
      </c>
      <c r="I26" s="94" t="n">
        <f aca="false">(H26/C2)/10</f>
        <v>51.7142857142857</v>
      </c>
      <c r="J26" s="106"/>
      <c r="K26" s="107"/>
      <c r="L26" s="108"/>
      <c r="M26" s="109"/>
      <c r="N26" s="110"/>
      <c r="O26" s="111"/>
    </row>
    <row r="27" customFormat="false" ht="13.8" hidden="false" customHeight="false" outlineLevel="0" collapsed="false">
      <c r="B27" s="70"/>
      <c r="C27" s="70"/>
      <c r="D27" s="70"/>
      <c r="G27" s="104"/>
      <c r="H27" s="105" t="n">
        <f aca="false">H26</f>
        <v>362</v>
      </c>
      <c r="I27" s="94" t="n">
        <f aca="false">(H27/C2)/10</f>
        <v>51.7142857142857</v>
      </c>
      <c r="J27" s="106"/>
      <c r="K27" s="107"/>
      <c r="L27" s="108"/>
      <c r="M27" s="109"/>
      <c r="N27" s="110"/>
      <c r="O27" s="111"/>
    </row>
    <row r="28" customFormat="false" ht="13.8" hidden="false" customHeight="false" outlineLevel="0" collapsed="false">
      <c r="B28" s="70"/>
      <c r="C28" s="70"/>
      <c r="D28" s="70"/>
      <c r="G28" s="104"/>
      <c r="H28" s="105" t="n">
        <f aca="false">H27</f>
        <v>362</v>
      </c>
      <c r="I28" s="94" t="n">
        <f aca="false">(H28/C2)/10</f>
        <v>51.7142857142857</v>
      </c>
      <c r="J28" s="106"/>
      <c r="K28" s="107"/>
      <c r="L28" s="108"/>
      <c r="M28" s="109"/>
      <c r="N28" s="110"/>
      <c r="O28" s="111"/>
    </row>
    <row r="29" customFormat="false" ht="13.8" hidden="false" customHeight="false" outlineLevel="0" collapsed="false">
      <c r="B29" s="70"/>
      <c r="C29" s="70"/>
      <c r="D29" s="70"/>
      <c r="G29" s="104"/>
      <c r="H29" s="105" t="n">
        <f aca="false">H28</f>
        <v>362</v>
      </c>
      <c r="I29" s="94" t="n">
        <f aca="false">(H29/C2)/10</f>
        <v>51.7142857142857</v>
      </c>
      <c r="J29" s="106"/>
      <c r="K29" s="107"/>
      <c r="L29" s="108"/>
      <c r="M29" s="109"/>
      <c r="N29" s="110"/>
      <c r="O29" s="111"/>
    </row>
    <row r="30" customFormat="false" ht="13.8" hidden="false" customHeight="false" outlineLevel="0" collapsed="false">
      <c r="B30" s="70"/>
      <c r="C30" s="70"/>
      <c r="D30" s="70"/>
      <c r="G30" s="104"/>
      <c r="H30" s="105" t="n">
        <f aca="false">H29</f>
        <v>362</v>
      </c>
      <c r="I30" s="94" t="n">
        <f aca="false">(H30/C2)/10</f>
        <v>51.7142857142857</v>
      </c>
      <c r="J30" s="106"/>
      <c r="K30" s="107"/>
      <c r="L30" s="108"/>
      <c r="M30" s="109"/>
      <c r="N30" s="110"/>
      <c r="O30" s="111"/>
    </row>
    <row r="31" customFormat="false" ht="13.8" hidden="false" customHeight="false" outlineLevel="0" collapsed="false">
      <c r="B31" s="70"/>
      <c r="C31" s="70"/>
      <c r="D31" s="70"/>
      <c r="G31" s="104"/>
      <c r="H31" s="105" t="n">
        <f aca="false">H30</f>
        <v>362</v>
      </c>
      <c r="I31" s="94" t="n">
        <f aca="false">(H31/C2)/10</f>
        <v>51.7142857142857</v>
      </c>
      <c r="J31" s="106"/>
      <c r="K31" s="107"/>
      <c r="L31" s="108"/>
      <c r="M31" s="109"/>
      <c r="N31" s="110"/>
      <c r="O31" s="111"/>
    </row>
    <row r="32" customFormat="false" ht="13.8" hidden="false" customHeight="false" outlineLevel="0" collapsed="false">
      <c r="B32" s="70"/>
      <c r="C32" s="70"/>
      <c r="D32" s="70"/>
      <c r="G32" s="104"/>
      <c r="H32" s="105" t="n">
        <f aca="false">H31</f>
        <v>362</v>
      </c>
      <c r="I32" s="94" t="n">
        <f aca="false">(H32/C2)/10</f>
        <v>51.7142857142857</v>
      </c>
      <c r="J32" s="106"/>
      <c r="K32" s="107"/>
      <c r="L32" s="108"/>
      <c r="M32" s="109"/>
      <c r="N32" s="110"/>
      <c r="O32" s="111"/>
    </row>
    <row r="33" customFormat="false" ht="13.8" hidden="false" customHeight="false" outlineLevel="0" collapsed="false">
      <c r="B33" s="70"/>
      <c r="C33" s="70"/>
      <c r="D33" s="70"/>
      <c r="G33" s="104"/>
      <c r="H33" s="105" t="n">
        <f aca="false">H32</f>
        <v>362</v>
      </c>
      <c r="I33" s="94" t="n">
        <f aca="false">(H33/C2)/10</f>
        <v>51.7142857142857</v>
      </c>
      <c r="J33" s="106"/>
      <c r="K33" s="107"/>
      <c r="L33" s="108"/>
      <c r="M33" s="109"/>
      <c r="N33" s="110"/>
      <c r="O33" s="111"/>
    </row>
    <row r="34" customFormat="false" ht="13.8" hidden="false" customHeight="false" outlineLevel="0" collapsed="false">
      <c r="B34" s="70"/>
      <c r="C34" s="70"/>
      <c r="D34" s="70"/>
      <c r="G34" s="104"/>
      <c r="H34" s="105" t="n">
        <f aca="false">H33</f>
        <v>362</v>
      </c>
      <c r="I34" s="94" t="n">
        <f aca="false">(H34/C2)/10</f>
        <v>51.7142857142857</v>
      </c>
      <c r="J34" s="106"/>
      <c r="K34" s="107"/>
      <c r="L34" s="108"/>
      <c r="M34" s="109"/>
      <c r="N34" s="110"/>
      <c r="O34" s="111"/>
    </row>
    <row r="35" customFormat="false" ht="13.8" hidden="false" customHeight="false" outlineLevel="0" collapsed="false">
      <c r="B35" s="112"/>
      <c r="C35" s="112"/>
      <c r="D35" s="112"/>
      <c r="G35" s="104"/>
      <c r="H35" s="105" t="n">
        <f aca="false">H34</f>
        <v>362</v>
      </c>
      <c r="I35" s="94" t="n">
        <f aca="false">(H35/C2)/10</f>
        <v>51.7142857142857</v>
      </c>
      <c r="J35" s="106"/>
      <c r="K35" s="107"/>
      <c r="L35" s="108"/>
      <c r="M35" s="109"/>
      <c r="N35" s="110"/>
      <c r="O35" s="111"/>
    </row>
    <row r="36" customFormat="false" ht="13.8" hidden="false" customHeight="false" outlineLevel="0" collapsed="false">
      <c r="B36" s="112"/>
      <c r="C36" s="112"/>
      <c r="D36" s="112"/>
      <c r="G36" s="104"/>
      <c r="H36" s="105" t="n">
        <f aca="false">H35</f>
        <v>362</v>
      </c>
      <c r="I36" s="94" t="n">
        <f aca="false">(H36/C2)/10</f>
        <v>51.7142857142857</v>
      </c>
      <c r="J36" s="106"/>
      <c r="K36" s="107"/>
      <c r="L36" s="108"/>
      <c r="M36" s="109"/>
      <c r="N36" s="110"/>
      <c r="O36" s="111"/>
    </row>
    <row r="37" customFormat="false" ht="13.8" hidden="false" customHeight="false" outlineLevel="0" collapsed="false">
      <c r="G37" s="104"/>
      <c r="H37" s="105" t="n">
        <f aca="false">H36</f>
        <v>362</v>
      </c>
      <c r="I37" s="94" t="n">
        <f aca="false">(H37/C2)/10</f>
        <v>51.7142857142857</v>
      </c>
      <c r="J37" s="106"/>
      <c r="K37" s="107"/>
      <c r="L37" s="108"/>
      <c r="M37" s="109"/>
      <c r="N37" s="110"/>
      <c r="O37" s="111"/>
    </row>
    <row r="38" customFormat="false" ht="13.8" hidden="false" customHeight="false" outlineLevel="0" collapsed="false">
      <c r="G38" s="104"/>
      <c r="H38" s="105" t="n">
        <f aca="false">H37</f>
        <v>362</v>
      </c>
      <c r="I38" s="94" t="n">
        <f aca="false">(H38/C2)/10</f>
        <v>51.7142857142857</v>
      </c>
      <c r="J38" s="106"/>
      <c r="K38" s="107"/>
      <c r="L38" s="108"/>
      <c r="M38" s="109"/>
      <c r="N38" s="110"/>
      <c r="O38" s="111"/>
    </row>
    <row r="39" customFormat="false" ht="13.8" hidden="false" customHeight="false" outlineLevel="0" collapsed="false">
      <c r="G39" s="104"/>
      <c r="H39" s="105" t="n">
        <f aca="false">H38</f>
        <v>362</v>
      </c>
      <c r="I39" s="94" t="n">
        <f aca="false">(H39/C2)/10</f>
        <v>51.7142857142857</v>
      </c>
      <c r="J39" s="106"/>
      <c r="K39" s="107"/>
      <c r="L39" s="108"/>
      <c r="M39" s="109"/>
      <c r="N39" s="110"/>
      <c r="O39" s="111"/>
    </row>
    <row r="40" customFormat="false" ht="13.8" hidden="false" customHeight="false" outlineLevel="0" collapsed="false">
      <c r="G40" s="104"/>
      <c r="H40" s="105" t="n">
        <f aca="false">H39</f>
        <v>362</v>
      </c>
      <c r="I40" s="94" t="n">
        <f aca="false">(H40/C2)/10</f>
        <v>51.7142857142857</v>
      </c>
      <c r="J40" s="106"/>
      <c r="K40" s="107"/>
      <c r="L40" s="108"/>
      <c r="M40" s="109"/>
      <c r="N40" s="110"/>
      <c r="O40" s="111"/>
    </row>
    <row r="41" customFormat="false" ht="13.8" hidden="false" customHeight="false" outlineLevel="0" collapsed="false">
      <c r="G41" s="104"/>
      <c r="H41" s="105" t="n">
        <f aca="false">H40</f>
        <v>362</v>
      </c>
      <c r="I41" s="94" t="n">
        <f aca="false">(H41/C2)/10</f>
        <v>51.7142857142857</v>
      </c>
      <c r="J41" s="106"/>
      <c r="K41" s="107"/>
      <c r="L41" s="108"/>
      <c r="M41" s="109"/>
      <c r="N41" s="110"/>
      <c r="O41" s="111"/>
    </row>
    <row r="42" customFormat="false" ht="13.8" hidden="false" customHeight="false" outlineLevel="0" collapsed="false">
      <c r="G42" s="104"/>
      <c r="H42" s="105" t="n">
        <f aca="false">H41</f>
        <v>362</v>
      </c>
      <c r="I42" s="94" t="n">
        <f aca="false">(H42/C2)/10</f>
        <v>51.7142857142857</v>
      </c>
      <c r="J42" s="106"/>
      <c r="K42" s="107"/>
      <c r="L42" s="108"/>
      <c r="M42" s="109"/>
      <c r="N42" s="110"/>
      <c r="O42" s="111"/>
    </row>
    <row r="43" customFormat="false" ht="13.8" hidden="false" customHeight="false" outlineLevel="0" collapsed="false">
      <c r="G43" s="104"/>
      <c r="H43" s="105" t="n">
        <f aca="false">H42</f>
        <v>362</v>
      </c>
      <c r="I43" s="94" t="n">
        <f aca="false">(H43/C2)/10</f>
        <v>51.7142857142857</v>
      </c>
      <c r="J43" s="106"/>
      <c r="K43" s="107"/>
      <c r="L43" s="108"/>
      <c r="M43" s="109"/>
      <c r="N43" s="110"/>
      <c r="O43" s="111"/>
    </row>
    <row r="44" customFormat="false" ht="13.8" hidden="false" customHeight="false" outlineLevel="0" collapsed="false">
      <c r="G44" s="104"/>
      <c r="H44" s="105" t="n">
        <f aca="false">H43</f>
        <v>362</v>
      </c>
      <c r="I44" s="94" t="n">
        <f aca="false">(H44/C2)/10</f>
        <v>51.7142857142857</v>
      </c>
      <c r="J44" s="106"/>
      <c r="K44" s="107"/>
      <c r="L44" s="108"/>
      <c r="M44" s="109"/>
      <c r="N44" s="110"/>
      <c r="O44" s="111"/>
    </row>
    <row r="45" customFormat="false" ht="13.8" hidden="false" customHeight="false" outlineLevel="0" collapsed="false">
      <c r="G45" s="113"/>
      <c r="H45" s="105" t="n">
        <f aca="false">H44</f>
        <v>362</v>
      </c>
      <c r="I45" s="94" t="n">
        <f aca="false">(H45/C2)/10</f>
        <v>51.7142857142857</v>
      </c>
      <c r="J45" s="114"/>
      <c r="K45" s="115"/>
      <c r="L45" s="116"/>
      <c r="M45" s="117"/>
      <c r="N45" s="118"/>
      <c r="O45" s="119"/>
    </row>
  </sheetData>
  <mergeCells count="9">
    <mergeCell ref="G13:I13"/>
    <mergeCell ref="J13:L13"/>
    <mergeCell ref="M13:O13"/>
    <mergeCell ref="G14:G15"/>
    <mergeCell ref="H14:I14"/>
    <mergeCell ref="J14:J15"/>
    <mergeCell ref="K14:L14"/>
    <mergeCell ref="M14:M15"/>
    <mergeCell ref="N14:O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77" t="s">
        <v>102</v>
      </c>
      <c r="C2" s="77"/>
      <c r="D2" s="77"/>
      <c r="E2" s="78" t="s">
        <v>103</v>
      </c>
      <c r="F2" s="78"/>
      <c r="G2" s="78"/>
      <c r="H2" s="79" t="s">
        <v>104</v>
      </c>
      <c r="I2" s="79"/>
      <c r="J2" s="79"/>
    </row>
    <row r="3" customFormat="false" ht="13.8" hidden="false" customHeight="false" outlineLevel="0" collapsed="false">
      <c r="B3" s="80" t="s">
        <v>116</v>
      </c>
      <c r="C3" s="81" t="s">
        <v>117</v>
      </c>
      <c r="D3" s="81"/>
      <c r="E3" s="82" t="s">
        <v>116</v>
      </c>
      <c r="F3" s="83" t="s">
        <v>117</v>
      </c>
      <c r="G3" s="83"/>
      <c r="H3" s="84" t="s">
        <v>116</v>
      </c>
      <c r="I3" s="85" t="s">
        <v>117</v>
      </c>
      <c r="J3" s="85"/>
    </row>
    <row r="4" customFormat="false" ht="13.8" hidden="false" customHeight="false" outlineLevel="0" collapsed="false">
      <c r="B4" s="80"/>
      <c r="C4" s="86" t="s">
        <v>118</v>
      </c>
      <c r="D4" s="87" t="s">
        <v>119</v>
      </c>
      <c r="E4" s="82"/>
      <c r="F4" s="88" t="s">
        <v>118</v>
      </c>
      <c r="G4" s="89" t="s">
        <v>119</v>
      </c>
      <c r="H4" s="84"/>
      <c r="I4" s="90" t="s">
        <v>118</v>
      </c>
      <c r="J4" s="91" t="s">
        <v>119</v>
      </c>
    </row>
    <row r="5" customFormat="false" ht="13.8" hidden="false" customHeight="false" outlineLevel="0" collapsed="false">
      <c r="B5" s="120"/>
      <c r="C5" s="121"/>
      <c r="D5" s="121"/>
      <c r="E5" s="122"/>
      <c r="F5" s="123"/>
      <c r="G5" s="123"/>
      <c r="H5" s="124"/>
      <c r="I5" s="125"/>
      <c r="J5" s="126"/>
    </row>
    <row r="6" customFormat="false" ht="13.8" hidden="false" customHeight="false" outlineLevel="0" collapsed="false">
      <c r="B6" s="127"/>
      <c r="C6" s="128"/>
      <c r="D6" s="128"/>
      <c r="E6" s="129"/>
      <c r="F6" s="130"/>
      <c r="G6" s="130"/>
      <c r="H6" s="131"/>
      <c r="I6" s="132"/>
      <c r="J6" s="133"/>
    </row>
    <row r="7" customFormat="false" ht="13.8" hidden="false" customHeight="false" outlineLevel="0" collapsed="false">
      <c r="B7" s="127"/>
      <c r="C7" s="128"/>
      <c r="D7" s="128"/>
      <c r="E7" s="129"/>
      <c r="F7" s="130"/>
      <c r="G7" s="130"/>
      <c r="H7" s="131"/>
      <c r="I7" s="132"/>
      <c r="J7" s="133"/>
    </row>
    <row r="8" customFormat="false" ht="13.8" hidden="false" customHeight="false" outlineLevel="0" collapsed="false">
      <c r="B8" s="127"/>
      <c r="C8" s="128"/>
      <c r="D8" s="128"/>
      <c r="E8" s="129"/>
      <c r="F8" s="130"/>
      <c r="G8" s="130"/>
      <c r="H8" s="131"/>
      <c r="I8" s="132"/>
      <c r="J8" s="133"/>
    </row>
    <row r="9" customFormat="false" ht="13.8" hidden="false" customHeight="false" outlineLevel="0" collapsed="false">
      <c r="B9" s="127"/>
      <c r="C9" s="128"/>
      <c r="D9" s="128"/>
      <c r="E9" s="129"/>
      <c r="F9" s="130"/>
      <c r="G9" s="130"/>
      <c r="H9" s="131"/>
      <c r="I9" s="132"/>
      <c r="J9" s="133"/>
    </row>
    <row r="10" customFormat="false" ht="13.8" hidden="false" customHeight="false" outlineLevel="0" collapsed="false">
      <c r="B10" s="127"/>
      <c r="C10" s="128"/>
      <c r="D10" s="128"/>
      <c r="E10" s="129"/>
      <c r="F10" s="130"/>
      <c r="G10" s="130"/>
      <c r="H10" s="131"/>
      <c r="I10" s="132"/>
      <c r="J10" s="133"/>
    </row>
    <row r="11" customFormat="false" ht="13.8" hidden="false" customHeight="false" outlineLevel="0" collapsed="false">
      <c r="B11" s="127"/>
      <c r="C11" s="128"/>
      <c r="D11" s="128"/>
      <c r="E11" s="129"/>
      <c r="F11" s="130"/>
      <c r="G11" s="130"/>
      <c r="H11" s="131"/>
      <c r="I11" s="132"/>
      <c r="J11" s="133"/>
    </row>
    <row r="12" customFormat="false" ht="13.8" hidden="false" customHeight="false" outlineLevel="0" collapsed="false">
      <c r="B12" s="127"/>
      <c r="C12" s="128"/>
      <c r="D12" s="128"/>
      <c r="E12" s="129"/>
      <c r="F12" s="130"/>
      <c r="G12" s="130"/>
      <c r="H12" s="131"/>
      <c r="I12" s="132"/>
      <c r="J12" s="133"/>
    </row>
    <row r="13" customFormat="false" ht="13.8" hidden="false" customHeight="false" outlineLevel="0" collapsed="false">
      <c r="B13" s="127"/>
      <c r="C13" s="128"/>
      <c r="D13" s="128"/>
      <c r="E13" s="129"/>
      <c r="F13" s="130"/>
      <c r="G13" s="130"/>
      <c r="H13" s="131"/>
      <c r="I13" s="132"/>
      <c r="J13" s="133"/>
    </row>
    <row r="14" customFormat="false" ht="13.8" hidden="false" customHeight="false" outlineLevel="0" collapsed="false">
      <c r="B14" s="127"/>
      <c r="C14" s="128"/>
      <c r="D14" s="128"/>
      <c r="E14" s="129"/>
      <c r="F14" s="130"/>
      <c r="G14" s="130"/>
      <c r="H14" s="131"/>
      <c r="I14" s="132"/>
      <c r="J14" s="133"/>
    </row>
    <row r="15" customFormat="false" ht="13.8" hidden="false" customHeight="false" outlineLevel="0" collapsed="false">
      <c r="B15" s="127"/>
      <c r="C15" s="128"/>
      <c r="D15" s="128"/>
      <c r="E15" s="129"/>
      <c r="F15" s="130"/>
      <c r="G15" s="130"/>
      <c r="H15" s="131"/>
      <c r="I15" s="132"/>
      <c r="J15" s="133"/>
    </row>
    <row r="16" customFormat="false" ht="13.8" hidden="false" customHeight="false" outlineLevel="0" collapsed="false">
      <c r="B16" s="127"/>
      <c r="C16" s="128"/>
      <c r="D16" s="128"/>
      <c r="E16" s="129"/>
      <c r="F16" s="130"/>
      <c r="G16" s="130"/>
      <c r="H16" s="131"/>
      <c r="I16" s="132"/>
      <c r="J16" s="133"/>
    </row>
    <row r="17" customFormat="false" ht="13.8" hidden="false" customHeight="false" outlineLevel="0" collapsed="false">
      <c r="B17" s="127"/>
      <c r="C17" s="128"/>
      <c r="D17" s="128"/>
      <c r="E17" s="129"/>
      <c r="F17" s="130"/>
      <c r="G17" s="130"/>
      <c r="H17" s="131"/>
      <c r="I17" s="132"/>
      <c r="J17" s="133"/>
    </row>
    <row r="18" customFormat="false" ht="13.8" hidden="false" customHeight="false" outlineLevel="0" collapsed="false">
      <c r="B18" s="127"/>
      <c r="C18" s="128"/>
      <c r="D18" s="128"/>
      <c r="E18" s="129"/>
      <c r="F18" s="130"/>
      <c r="G18" s="130"/>
      <c r="H18" s="131"/>
      <c r="I18" s="132"/>
      <c r="J18" s="133"/>
    </row>
    <row r="19" customFormat="false" ht="13.8" hidden="false" customHeight="false" outlineLevel="0" collapsed="false">
      <c r="B19" s="127"/>
      <c r="C19" s="128"/>
      <c r="D19" s="128"/>
      <c r="E19" s="129"/>
      <c r="F19" s="130"/>
      <c r="G19" s="130"/>
      <c r="H19" s="131"/>
      <c r="I19" s="132"/>
      <c r="J19" s="133"/>
    </row>
    <row r="20" customFormat="false" ht="13.8" hidden="false" customHeight="false" outlineLevel="0" collapsed="false">
      <c r="B20" s="127"/>
      <c r="C20" s="128"/>
      <c r="D20" s="128"/>
      <c r="E20" s="129"/>
      <c r="F20" s="130"/>
      <c r="G20" s="130"/>
      <c r="H20" s="131"/>
      <c r="I20" s="132"/>
      <c r="J20" s="133"/>
    </row>
    <row r="21" customFormat="false" ht="13.8" hidden="false" customHeight="false" outlineLevel="0" collapsed="false">
      <c r="B21" s="127"/>
      <c r="C21" s="128"/>
      <c r="D21" s="128"/>
      <c r="E21" s="129"/>
      <c r="F21" s="130"/>
      <c r="G21" s="130"/>
      <c r="H21" s="131"/>
      <c r="I21" s="132"/>
      <c r="J21" s="133"/>
    </row>
    <row r="22" customFormat="false" ht="13.8" hidden="false" customHeight="false" outlineLevel="0" collapsed="false">
      <c r="B22" s="127"/>
      <c r="C22" s="128"/>
      <c r="D22" s="128"/>
      <c r="E22" s="129"/>
      <c r="F22" s="130"/>
      <c r="G22" s="130"/>
      <c r="H22" s="131"/>
      <c r="I22" s="132"/>
      <c r="J22" s="133"/>
    </row>
    <row r="23" customFormat="false" ht="13.8" hidden="false" customHeight="false" outlineLevel="0" collapsed="false">
      <c r="B23" s="127"/>
      <c r="C23" s="128"/>
      <c r="D23" s="128"/>
      <c r="E23" s="129"/>
      <c r="F23" s="130"/>
      <c r="G23" s="130"/>
      <c r="H23" s="131"/>
      <c r="I23" s="132"/>
      <c r="J23" s="133"/>
    </row>
    <row r="24" customFormat="false" ht="13.8" hidden="false" customHeight="false" outlineLevel="0" collapsed="false">
      <c r="B24" s="127"/>
      <c r="C24" s="128"/>
      <c r="D24" s="128"/>
      <c r="E24" s="129"/>
      <c r="F24" s="130"/>
      <c r="G24" s="130"/>
      <c r="H24" s="131"/>
      <c r="I24" s="132"/>
      <c r="J24" s="133"/>
    </row>
    <row r="25" customFormat="false" ht="13.8" hidden="false" customHeight="false" outlineLevel="0" collapsed="false">
      <c r="B25" s="127"/>
      <c r="C25" s="128"/>
      <c r="D25" s="128"/>
      <c r="E25" s="129"/>
      <c r="F25" s="130"/>
      <c r="G25" s="130"/>
      <c r="H25" s="131"/>
      <c r="I25" s="132"/>
      <c r="J25" s="133"/>
    </row>
    <row r="26" customFormat="false" ht="13.8" hidden="false" customHeight="false" outlineLevel="0" collapsed="false">
      <c r="B26" s="127"/>
      <c r="C26" s="128"/>
      <c r="D26" s="128"/>
      <c r="E26" s="129"/>
      <c r="F26" s="130"/>
      <c r="G26" s="130"/>
      <c r="H26" s="131"/>
      <c r="I26" s="132"/>
      <c r="J26" s="133"/>
    </row>
    <row r="27" customFormat="false" ht="13.8" hidden="false" customHeight="false" outlineLevel="0" collapsed="false">
      <c r="B27" s="127"/>
      <c r="C27" s="128"/>
      <c r="D27" s="128"/>
      <c r="E27" s="129"/>
      <c r="F27" s="130"/>
      <c r="G27" s="130"/>
      <c r="H27" s="131"/>
      <c r="I27" s="132"/>
      <c r="J27" s="133"/>
    </row>
    <row r="28" customFormat="false" ht="13.8" hidden="false" customHeight="false" outlineLevel="0" collapsed="false">
      <c r="B28" s="127"/>
      <c r="C28" s="128"/>
      <c r="D28" s="128"/>
      <c r="E28" s="129"/>
      <c r="F28" s="130"/>
      <c r="G28" s="130"/>
      <c r="H28" s="131"/>
      <c r="I28" s="132"/>
      <c r="J28" s="133"/>
    </row>
    <row r="29" customFormat="false" ht="13.8" hidden="false" customHeight="false" outlineLevel="0" collapsed="false">
      <c r="B29" s="127"/>
      <c r="C29" s="128"/>
      <c r="D29" s="128"/>
      <c r="E29" s="129"/>
      <c r="F29" s="130"/>
      <c r="G29" s="130"/>
      <c r="H29" s="131"/>
      <c r="I29" s="132"/>
      <c r="J29" s="133"/>
    </row>
    <row r="30" customFormat="false" ht="13.8" hidden="false" customHeight="false" outlineLevel="0" collapsed="false">
      <c r="B30" s="127"/>
      <c r="C30" s="128"/>
      <c r="D30" s="128"/>
      <c r="E30" s="129"/>
      <c r="F30" s="130"/>
      <c r="G30" s="130"/>
      <c r="H30" s="131"/>
      <c r="I30" s="132"/>
      <c r="J30" s="133"/>
    </row>
    <row r="31" customFormat="false" ht="13.8" hidden="false" customHeight="false" outlineLevel="0" collapsed="false">
      <c r="B31" s="127"/>
      <c r="C31" s="128"/>
      <c r="D31" s="128"/>
      <c r="E31" s="129"/>
      <c r="F31" s="130"/>
      <c r="G31" s="130"/>
      <c r="H31" s="131"/>
      <c r="I31" s="132"/>
      <c r="J31" s="133"/>
    </row>
    <row r="32" customFormat="false" ht="13.8" hidden="false" customHeight="false" outlineLevel="0" collapsed="false">
      <c r="B32" s="127"/>
      <c r="C32" s="128"/>
      <c r="D32" s="128"/>
      <c r="E32" s="129"/>
      <c r="F32" s="130"/>
      <c r="G32" s="130"/>
      <c r="H32" s="131"/>
      <c r="I32" s="132"/>
      <c r="J32" s="133"/>
    </row>
    <row r="33" customFormat="false" ht="13.8" hidden="false" customHeight="false" outlineLevel="0" collapsed="false">
      <c r="B33" s="127"/>
      <c r="C33" s="128"/>
      <c r="D33" s="128"/>
      <c r="E33" s="129"/>
      <c r="F33" s="130"/>
      <c r="G33" s="130"/>
      <c r="H33" s="131"/>
      <c r="I33" s="132"/>
      <c r="J33" s="133"/>
    </row>
    <row r="34" customFormat="false" ht="13.8" hidden="false" customHeight="false" outlineLevel="0" collapsed="false">
      <c r="B34" s="134"/>
      <c r="C34" s="135"/>
      <c r="D34" s="135"/>
      <c r="E34" s="136"/>
      <c r="F34" s="137"/>
      <c r="G34" s="137"/>
      <c r="H34" s="138"/>
      <c r="I34" s="139"/>
      <c r="J34" s="140"/>
    </row>
  </sheetData>
  <mergeCells count="9">
    <mergeCell ref="B2:D2"/>
    <mergeCell ref="E2:G2"/>
    <mergeCell ref="H2:J2"/>
    <mergeCell ref="B3:B4"/>
    <mergeCell ref="C3:D3"/>
    <mergeCell ref="E3:E4"/>
    <mergeCell ref="F3:G3"/>
    <mergeCell ref="H3:H4"/>
    <mergeCell ref="I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2026-06-11T04:46:39Z</dcterms:created>
  <dc:creator>openpyxl</dc:creator>
  <dc:description/>
  <dc:language>en-US</dc:language>
  <cp:lastModifiedBy/>
  <dcterms:modified xsi:type="dcterms:W3CDTF">2026-06-30T22:09:48Z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